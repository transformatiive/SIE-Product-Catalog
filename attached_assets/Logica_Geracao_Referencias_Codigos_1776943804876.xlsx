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barreto/Library/CloudStorage/GoogleDrive-nbarreto@transformatiive.com/My Drive/Projectos/SIE/"/>
    </mc:Choice>
  </mc:AlternateContent>
  <xr:revisionPtr revIDLastSave="0" documentId="13_ncr:1_{961DF13D-EC66-B340-9B44-572D71DB5C8D}" xr6:coauthVersionLast="47" xr6:coauthVersionMax="47" xr10:uidLastSave="{00000000-0000-0000-0000-000000000000}"/>
  <bookViews>
    <workbookView xWindow="1480" yWindow="1660" windowWidth="27240" windowHeight="16160" xr2:uid="{352B144F-0654-AD4D-A98F-15232067239E}"/>
  </bookViews>
  <sheets>
    <sheet name="Ref Embalagem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H8" i="1" s="1"/>
  <c r="C9" i="1"/>
  <c r="I8" i="1" s="1"/>
  <c r="C11" i="1"/>
  <c r="J8" i="1" s="1"/>
  <c r="E11" i="1"/>
  <c r="C13" i="1"/>
  <c r="H14" i="1"/>
  <c r="J14" i="1"/>
  <c r="Q14" i="1"/>
  <c r="C15" i="1"/>
  <c r="L14" i="1" s="1"/>
  <c r="E15" i="1"/>
  <c r="C17" i="1"/>
  <c r="L20" i="1" s="1"/>
  <c r="C19" i="1"/>
  <c r="L8" i="1" s="1"/>
  <c r="J20" i="1"/>
  <c r="M20" i="1"/>
  <c r="N20" i="1"/>
  <c r="W20" i="1"/>
  <c r="C21" i="1"/>
  <c r="M8" i="1" s="1"/>
  <c r="E21" i="1"/>
  <c r="F21" i="1"/>
  <c r="N14" i="1" s="1"/>
  <c r="C23" i="1"/>
  <c r="N8" i="1" s="1"/>
  <c r="E23" i="1"/>
  <c r="P20" i="1" s="1"/>
  <c r="F23" i="1"/>
  <c r="O14" i="1" s="1"/>
  <c r="C25" i="1"/>
  <c r="O8" i="1" s="1"/>
  <c r="H20" i="1" l="1"/>
  <c r="I20" i="1"/>
  <c r="H12" i="1"/>
  <c r="K8" i="1"/>
  <c r="H6" i="1" s="1"/>
  <c r="K20" i="1"/>
  <c r="V20" i="1" l="1"/>
  <c r="U20" i="1"/>
  <c r="R20" i="1"/>
  <c r="T20" i="1"/>
  <c r="S20" i="1"/>
  <c r="O20" i="1"/>
  <c r="H18" i="1" s="1"/>
  <c r="Q20" i="1"/>
</calcChain>
</file>

<file path=xl/sharedStrings.xml><?xml version="1.0" encoding="utf-8"?>
<sst xmlns="http://schemas.openxmlformats.org/spreadsheetml/2006/main" count="37" uniqueCount="34">
  <si>
    <t>A127</t>
  </si>
  <si>
    <t>10_Especificações</t>
  </si>
  <si>
    <t>PALETE</t>
  </si>
  <si>
    <t>9_Embalamento</t>
  </si>
  <si>
    <t>CERTIFICADO</t>
  </si>
  <si>
    <t>8_Certificação</t>
  </si>
  <si>
    <t>10.8</t>
  </si>
  <si>
    <t>10.7</t>
  </si>
  <si>
    <t>10.6</t>
  </si>
  <si>
    <t>10.4</t>
  </si>
  <si>
    <t>10.3</t>
  </si>
  <si>
    <t>10.5</t>
  </si>
  <si>
    <t>10.1</t>
  </si>
  <si>
    <t>10.2</t>
  </si>
  <si>
    <t>Ø50</t>
  </si>
  <si>
    <t>7_ Medida da tampa</t>
  </si>
  <si>
    <t>Designação</t>
  </si>
  <si>
    <t>Tampa Rosca</t>
  </si>
  <si>
    <t>6_Sistema de fecho</t>
  </si>
  <si>
    <t>PRETO - 90 R/G 1162</t>
  </si>
  <si>
    <t>5_Corante</t>
  </si>
  <si>
    <t>.</t>
  </si>
  <si>
    <t>51. Cor / Inc Corado</t>
  </si>
  <si>
    <t>4_Materia Prima</t>
  </si>
  <si>
    <t>Referência</t>
  </si>
  <si>
    <t>0541</t>
  </si>
  <si>
    <t>3_Modelo</t>
  </si>
  <si>
    <t>5L</t>
  </si>
  <si>
    <t>2_Capacidade</t>
  </si>
  <si>
    <t>REGADOR</t>
  </si>
  <si>
    <t>1_PRODUTO</t>
  </si>
  <si>
    <t>Código de Barras</t>
  </si>
  <si>
    <t>Jardinagem</t>
  </si>
  <si>
    <t>0_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</si>
</sst>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barreto/Library/CloudStorage/GoogleDrive-nbarreto@transformatiive.com/My%20Drive/Projectos/SIE/Tabelas_Suporte.xlsx" TargetMode="External"/><Relationship Id="rId1" Type="http://schemas.openxmlformats.org/officeDocument/2006/relationships/externalLinkPath" Target="Tabelas_Supor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barreto/Library/CloudStorage/GoogleDrive-nbarreto@transformatiive.com/My%20Drive/Projectos/SIE/Base%20dados%20Produtos.xlsx" TargetMode="External"/><Relationship Id="rId1" Type="http://schemas.openxmlformats.org/officeDocument/2006/relationships/externalLinkPath" Target="Base%20dados%20Produ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utura Código"/>
    </sheetNames>
    <sheetDataSet>
      <sheetData sheetId="0">
        <row r="1">
          <cell r="B1" t="str">
            <v>0_Familia</v>
          </cell>
          <cell r="AH1" t="str">
            <v>7_Medida da Tampa</v>
          </cell>
        </row>
        <row r="2">
          <cell r="B2" t="str">
            <v>Descrição</v>
          </cell>
          <cell r="C2" t="str">
            <v>Código</v>
          </cell>
          <cell r="F2" t="str">
            <v>Descrição</v>
          </cell>
          <cell r="G2" t="str">
            <v>Código</v>
          </cell>
          <cell r="J2" t="str">
            <v>Descrição</v>
          </cell>
          <cell r="K2" t="str">
            <v>Código</v>
          </cell>
          <cell r="N2" t="str">
            <v>Código ref</v>
          </cell>
          <cell r="O2" t="str">
            <v>Código</v>
          </cell>
          <cell r="P2" t="str">
            <v xml:space="preserve">Descrição </v>
          </cell>
          <cell r="S2" t="str">
            <v>Descrição</v>
          </cell>
          <cell r="T2" t="str">
            <v>Código</v>
          </cell>
          <cell r="U2" t="str">
            <v xml:space="preserve">Descrição </v>
          </cell>
          <cell r="X2" t="str">
            <v>Descrição</v>
          </cell>
          <cell r="Y2" t="str">
            <v>Código</v>
          </cell>
          <cell r="Z2" t="str">
            <v xml:space="preserve">Descrição </v>
          </cell>
          <cell r="AC2" t="str">
            <v>Descrição</v>
          </cell>
          <cell r="AD2" t="str">
            <v>Código</v>
          </cell>
          <cell r="AE2" t="str">
            <v xml:space="preserve">Descrição </v>
          </cell>
          <cell r="AH2" t="str">
            <v>Descrição</v>
          </cell>
          <cell r="AI2" t="str">
            <v>Código</v>
          </cell>
          <cell r="AL2" t="str">
            <v>Descrição</v>
          </cell>
          <cell r="AM2" t="str">
            <v>Código ref</v>
          </cell>
          <cell r="AN2" t="str">
            <v xml:space="preserve">Descrição </v>
          </cell>
          <cell r="AO2" t="str">
            <v>Código</v>
          </cell>
          <cell r="AR2" t="str">
            <v>Descrição</v>
          </cell>
          <cell r="AS2" t="str">
            <v>Código ref</v>
          </cell>
          <cell r="AT2" t="str">
            <v xml:space="preserve">Descrição </v>
          </cell>
          <cell r="AU2" t="str">
            <v>Código</v>
          </cell>
        </row>
        <row r="4">
          <cell r="B4" t="str">
            <v>N/A</v>
          </cell>
          <cell r="C4" t="str">
            <v>00</v>
          </cell>
          <cell r="F4" t="str">
            <v>N/A</v>
          </cell>
          <cell r="G4" t="str">
            <v>00</v>
          </cell>
          <cell r="J4" t="str">
            <v>N/A</v>
          </cell>
          <cell r="K4" t="str">
            <v>00</v>
          </cell>
          <cell r="S4" t="str">
            <v>N/A</v>
          </cell>
          <cell r="T4" t="str">
            <v>00</v>
          </cell>
          <cell r="X4" t="str">
            <v>N/A</v>
          </cell>
          <cell r="Y4" t="str">
            <v>00</v>
          </cell>
          <cell r="Z4" t="str">
            <v>N/A</v>
          </cell>
          <cell r="AC4" t="str">
            <v>N/A</v>
          </cell>
          <cell r="AD4" t="str">
            <v>00</v>
          </cell>
          <cell r="AH4" t="str">
            <v>N/A</v>
          </cell>
          <cell r="AI4" t="str">
            <v>00</v>
          </cell>
          <cell r="AL4" t="str">
            <v>N/A</v>
          </cell>
          <cell r="AM4" t="str">
            <v>0</v>
          </cell>
          <cell r="AO4" t="str">
            <v>0</v>
          </cell>
          <cell r="AR4" t="str">
            <v>N/A</v>
          </cell>
          <cell r="AS4" t="str">
            <v>0</v>
          </cell>
          <cell r="AU4" t="str">
            <v>0</v>
          </cell>
        </row>
        <row r="5">
          <cell r="B5" t="str">
            <v>Embalagem</v>
          </cell>
          <cell r="C5" t="str">
            <v>01</v>
          </cell>
          <cell r="F5" t="str">
            <v>GARRAFÃO</v>
          </cell>
          <cell r="G5" t="str">
            <v>01</v>
          </cell>
          <cell r="J5" t="str">
            <v>0,030L</v>
          </cell>
          <cell r="K5" t="str">
            <v>01</v>
          </cell>
          <cell r="N5" t="str">
            <v>N/A</v>
          </cell>
          <cell r="O5" t="str">
            <v>000</v>
          </cell>
          <cell r="S5" t="str">
            <v>PEAD</v>
          </cell>
          <cell r="T5" t="str">
            <v>01</v>
          </cell>
          <cell r="X5" t="str">
            <v>INCOLOR</v>
          </cell>
          <cell r="Y5" t="str">
            <v>01</v>
          </cell>
          <cell r="Z5" t="str">
            <v>INCOLOR</v>
          </cell>
          <cell r="AC5" t="str">
            <v>Tampa Rosca</v>
          </cell>
          <cell r="AD5" t="str">
            <v>01</v>
          </cell>
          <cell r="AE5" t="str">
            <v>TR</v>
          </cell>
          <cell r="AH5" t="str">
            <v>Ø28</v>
          </cell>
          <cell r="AI5" t="str">
            <v>01</v>
          </cell>
          <cell r="AL5" t="str">
            <v>CERTIFICADO</v>
          </cell>
          <cell r="AM5" t="str">
            <v>C</v>
          </cell>
          <cell r="AN5" t="str">
            <v>CERT</v>
          </cell>
          <cell r="AO5" t="str">
            <v>1</v>
          </cell>
          <cell r="AR5" t="str">
            <v>PALETE</v>
          </cell>
          <cell r="AS5" t="str">
            <v>P</v>
          </cell>
          <cell r="AT5" t="str">
            <v>PAL</v>
          </cell>
          <cell r="AU5" t="str">
            <v>1</v>
          </cell>
        </row>
        <row r="6">
          <cell r="B6" t="str">
            <v>Jardinagem</v>
          </cell>
          <cell r="C6" t="str">
            <v>02</v>
          </cell>
          <cell r="F6" t="str">
            <v>BARRICA</v>
          </cell>
          <cell r="G6" t="str">
            <v>02</v>
          </cell>
          <cell r="J6" t="str">
            <v>0,125L</v>
          </cell>
          <cell r="K6" t="str">
            <v>02</v>
          </cell>
          <cell r="N6" t="str">
            <v>1191</v>
          </cell>
          <cell r="O6" t="str">
            <v>001</v>
          </cell>
          <cell r="S6" t="str">
            <v>PEBD</v>
          </cell>
          <cell r="T6" t="str">
            <v>02</v>
          </cell>
          <cell r="X6" t="str">
            <v>BRANCO - 02 - R/G 2160</v>
          </cell>
          <cell r="Y6" t="str">
            <v>02</v>
          </cell>
          <cell r="Z6" t="str">
            <v>BRANCO</v>
          </cell>
          <cell r="AC6" t="str">
            <v>Tampa cinta Fita</v>
          </cell>
          <cell r="AD6" t="str">
            <v>02</v>
          </cell>
          <cell r="AE6" t="str">
            <v>TF</v>
          </cell>
          <cell r="AH6" t="str">
            <v>Ø38/23</v>
          </cell>
          <cell r="AI6" t="str">
            <v>02</v>
          </cell>
          <cell r="AL6" t="str">
            <v>ALIMENTAR</v>
          </cell>
          <cell r="AM6" t="str">
            <v>A</v>
          </cell>
          <cell r="AN6" t="str">
            <v>ALIM</v>
          </cell>
          <cell r="AO6" t="str">
            <v>2</v>
          </cell>
          <cell r="AR6" t="str">
            <v>SACO</v>
          </cell>
          <cell r="AS6" t="str">
            <v>S</v>
          </cell>
          <cell r="AT6" t="str">
            <v>SAC</v>
          </cell>
          <cell r="AU6" t="str">
            <v>2</v>
          </cell>
        </row>
        <row r="7">
          <cell r="B7" t="str">
            <v>Sinalização Rodoviária</v>
          </cell>
          <cell r="C7" t="str">
            <v>03</v>
          </cell>
          <cell r="F7" t="str">
            <v>JERRYCAN</v>
          </cell>
          <cell r="G7" t="str">
            <v>03</v>
          </cell>
          <cell r="J7" t="str">
            <v>0,250L</v>
          </cell>
          <cell r="K7" t="str">
            <v>03</v>
          </cell>
          <cell r="N7" t="str">
            <v>1300</v>
          </cell>
          <cell r="O7" t="str">
            <v>002</v>
          </cell>
          <cell r="S7" t="str">
            <v>PVC</v>
          </cell>
          <cell r="T7" t="str">
            <v>03</v>
          </cell>
          <cell r="X7" t="str">
            <v>CRISTAL</v>
          </cell>
          <cell r="Y7" t="str">
            <v>03</v>
          </cell>
          <cell r="Z7" t="str">
            <v>CRISTAL</v>
          </cell>
          <cell r="AC7" t="str">
            <v>Tampa pressão</v>
          </cell>
          <cell r="AD7" t="str">
            <v>03</v>
          </cell>
          <cell r="AE7" t="str">
            <v>TP</v>
          </cell>
          <cell r="AH7" t="str">
            <v>Ø38/15</v>
          </cell>
          <cell r="AI7" t="str">
            <v>03</v>
          </cell>
          <cell r="AL7" t="str">
            <v>RECICLADO</v>
          </cell>
          <cell r="AM7" t="str">
            <v>R</v>
          </cell>
          <cell r="AN7" t="str">
            <v>PCR</v>
          </cell>
          <cell r="AO7" t="str">
            <v>3</v>
          </cell>
          <cell r="AR7" t="str">
            <v>CAIXA</v>
          </cell>
          <cell r="AS7" t="str">
            <v>C</v>
          </cell>
          <cell r="AT7" t="str">
            <v>CXA</v>
          </cell>
          <cell r="AU7" t="str">
            <v>3</v>
          </cell>
        </row>
        <row r="8">
          <cell r="B8" t="str">
            <v>Acessórios</v>
          </cell>
          <cell r="C8" t="str">
            <v>04</v>
          </cell>
          <cell r="F8" t="str">
            <v>FRASCO</v>
          </cell>
          <cell r="G8" t="str">
            <v>04</v>
          </cell>
          <cell r="J8" t="str">
            <v>0,350L</v>
          </cell>
          <cell r="K8" t="str">
            <v>04</v>
          </cell>
          <cell r="N8" t="str">
            <v>1301</v>
          </cell>
          <cell r="O8" t="str">
            <v>003</v>
          </cell>
          <cell r="S8" t="str">
            <v>POLIESTIRENO</v>
          </cell>
          <cell r="T8" t="str">
            <v>04</v>
          </cell>
          <cell r="X8" t="str">
            <v>CRISTAL</v>
          </cell>
          <cell r="Y8" t="str">
            <v>03</v>
          </cell>
          <cell r="Z8" t="str">
            <v>CRISTAL</v>
          </cell>
          <cell r="AC8" t="str">
            <v>1 Tubladura</v>
          </cell>
          <cell r="AD8" t="str">
            <v>04</v>
          </cell>
          <cell r="AE8" t="str">
            <v>1T</v>
          </cell>
          <cell r="AH8" t="str">
            <v>Ø50</v>
          </cell>
          <cell r="AI8" t="str">
            <v>04</v>
          </cell>
          <cell r="AL8" t="str">
            <v>NORMAL</v>
          </cell>
          <cell r="AM8" t="str">
            <v>N</v>
          </cell>
          <cell r="AO8" t="str">
            <v>4</v>
          </cell>
          <cell r="AR8" t="str">
            <v>BIG BAG</v>
          </cell>
          <cell r="AS8" t="str">
            <v>B</v>
          </cell>
          <cell r="AT8" t="str">
            <v>BB</v>
          </cell>
          <cell r="AU8" t="str">
            <v>4</v>
          </cell>
        </row>
        <row r="9">
          <cell r="B9" t="str">
            <v>Produto Cliente</v>
          </cell>
          <cell r="C9" t="str">
            <v>05</v>
          </cell>
          <cell r="F9" t="str">
            <v>FRASCO MULTIUSOS</v>
          </cell>
          <cell r="G9" t="str">
            <v>05</v>
          </cell>
          <cell r="J9" t="str">
            <v>0,500L</v>
          </cell>
          <cell r="K9" t="str">
            <v>05</v>
          </cell>
          <cell r="N9" t="str">
            <v>1302</v>
          </cell>
          <cell r="O9" t="str">
            <v>004</v>
          </cell>
          <cell r="S9" t="str">
            <v>RECICLADO</v>
          </cell>
          <cell r="T9" t="str">
            <v>05</v>
          </cell>
          <cell r="X9" t="str">
            <v>METALIZADO</v>
          </cell>
          <cell r="Y9" t="str">
            <v>04</v>
          </cell>
          <cell r="Z9" t="str">
            <v>METALIZADO</v>
          </cell>
          <cell r="AC9" t="str">
            <v>2 Tubladuras</v>
          </cell>
          <cell r="AD9" t="str">
            <v>05</v>
          </cell>
          <cell r="AE9" t="str">
            <v>2T</v>
          </cell>
          <cell r="AH9" t="str">
            <v>Ø55</v>
          </cell>
          <cell r="AI9" t="str">
            <v>05</v>
          </cell>
          <cell r="AO9" t="str">
            <v>5</v>
          </cell>
        </row>
        <row r="10">
          <cell r="B10" t="str">
            <v>Matérias Primas e Subsidiárias</v>
          </cell>
          <cell r="C10" t="str">
            <v>06</v>
          </cell>
          <cell r="F10" t="str">
            <v>REGADOR</v>
          </cell>
          <cell r="G10" t="str">
            <v>06</v>
          </cell>
          <cell r="J10" t="str">
            <v>0,600L</v>
          </cell>
          <cell r="K10" t="str">
            <v>06</v>
          </cell>
          <cell r="N10" t="str">
            <v>1303</v>
          </cell>
          <cell r="O10" t="str">
            <v>005</v>
          </cell>
          <cell r="S10" t="str">
            <v>PEAD aditivado</v>
          </cell>
          <cell r="T10" t="str">
            <v>06</v>
          </cell>
          <cell r="X10" t="str">
            <v>AZUL - 10 R/G 2507</v>
          </cell>
          <cell r="Y10" t="str">
            <v>10</v>
          </cell>
          <cell r="Z10" t="str">
            <v>AZUL</v>
          </cell>
          <cell r="AC10" t="str">
            <v>Tampa cinta Calha</v>
          </cell>
          <cell r="AD10" t="str">
            <v>06</v>
          </cell>
          <cell r="AE10" t="str">
            <v>TC</v>
          </cell>
          <cell r="AH10" t="str">
            <v>Ø60</v>
          </cell>
          <cell r="AI10" t="str">
            <v>06</v>
          </cell>
        </row>
        <row r="11">
          <cell r="B11" t="str">
            <v>Embalagem Flexível</v>
          </cell>
          <cell r="C11" t="str">
            <v>07</v>
          </cell>
          <cell r="F11" t="str">
            <v>CANECO</v>
          </cell>
          <cell r="G11" t="str">
            <v>07</v>
          </cell>
          <cell r="J11" t="str">
            <v>0,750L</v>
          </cell>
          <cell r="K11" t="str">
            <v>07</v>
          </cell>
          <cell r="N11" t="str">
            <v>1310</v>
          </cell>
          <cell r="O11" t="str">
            <v>006</v>
          </cell>
          <cell r="S11" t="str">
            <v>PEAD Injecção</v>
          </cell>
          <cell r="T11" t="str">
            <v>07</v>
          </cell>
          <cell r="X11" t="str">
            <v>AZUL - 11 R/G 4667</v>
          </cell>
          <cell r="Y11" t="str">
            <v>11</v>
          </cell>
          <cell r="Z11" t="str">
            <v>AZUL</v>
          </cell>
          <cell r="AH11" t="str">
            <v>Ø63/32</v>
          </cell>
          <cell r="AI11" t="str">
            <v>07</v>
          </cell>
        </row>
        <row r="12">
          <cell r="B12" t="str">
            <v>Acessórios - Compra</v>
          </cell>
          <cell r="C12" t="str">
            <v>08</v>
          </cell>
          <cell r="F12" t="str">
            <v>CANTARO</v>
          </cell>
          <cell r="G12" t="str">
            <v>08</v>
          </cell>
          <cell r="J12" t="str">
            <v>1L</v>
          </cell>
          <cell r="K12" t="str">
            <v>08</v>
          </cell>
          <cell r="N12" t="str">
            <v>1311</v>
          </cell>
          <cell r="O12" t="str">
            <v>007</v>
          </cell>
          <cell r="P12" t="str">
            <v>EMPILHAVEL</v>
          </cell>
          <cell r="S12" t="str">
            <v>POLIPROPILENO (PP) SOPRO</v>
          </cell>
          <cell r="T12" t="str">
            <v>08</v>
          </cell>
          <cell r="X12" t="str">
            <v>AZUL - 12 R/G 3200</v>
          </cell>
          <cell r="Y12" t="str">
            <v>12</v>
          </cell>
          <cell r="Z12" t="str">
            <v>AZUL</v>
          </cell>
          <cell r="AH12" t="str">
            <v>Ø38/15 ""saia""</v>
          </cell>
          <cell r="AI12" t="str">
            <v>08</v>
          </cell>
        </row>
        <row r="13">
          <cell r="B13" t="str">
            <v>Mercadoria</v>
          </cell>
          <cell r="C13" t="str">
            <v>10</v>
          </cell>
          <cell r="F13" t="str">
            <v>SEPARADOR DE VIA</v>
          </cell>
          <cell r="G13" t="str">
            <v>09</v>
          </cell>
          <cell r="J13" t="str">
            <v>2L</v>
          </cell>
          <cell r="K13" t="str">
            <v>09</v>
          </cell>
          <cell r="N13" t="str">
            <v>1227</v>
          </cell>
          <cell r="O13" t="str">
            <v>008</v>
          </cell>
          <cell r="S13" t="str">
            <v>PEBD Injecção</v>
          </cell>
          <cell r="T13" t="str">
            <v>09</v>
          </cell>
          <cell r="X13" t="str">
            <v>AZUL - 13 R/G 2838</v>
          </cell>
          <cell r="Y13" t="str">
            <v>13</v>
          </cell>
          <cell r="Z13" t="str">
            <v>AZUL</v>
          </cell>
          <cell r="AH13" t="str">
            <v>Ø95</v>
          </cell>
          <cell r="AI13" t="str">
            <v>09</v>
          </cell>
        </row>
        <row r="14">
          <cell r="B14" t="str">
            <v>Moldes</v>
          </cell>
          <cell r="C14" t="str">
            <v>12</v>
          </cell>
          <cell r="F14" t="str">
            <v>LAMELA</v>
          </cell>
          <cell r="G14" t="str">
            <v>10</v>
          </cell>
          <cell r="J14" t="str">
            <v>1,5L</v>
          </cell>
          <cell r="K14" t="str">
            <v>10</v>
          </cell>
          <cell r="N14" t="str">
            <v>1226</v>
          </cell>
          <cell r="O14" t="str">
            <v>009</v>
          </cell>
          <cell r="S14" t="str">
            <v>POLIPROPILENO (PP) INJECÇÃO</v>
          </cell>
          <cell r="T14" t="str">
            <v>10</v>
          </cell>
          <cell r="X14" t="str">
            <v>AZUL - 14 R/G 2920</v>
          </cell>
          <cell r="Y14" t="str">
            <v>14</v>
          </cell>
          <cell r="Z14" t="str">
            <v>AZUL</v>
          </cell>
          <cell r="AH14" t="str">
            <v>Ø140</v>
          </cell>
          <cell r="AI14" t="str">
            <v>10</v>
          </cell>
        </row>
        <row r="15">
          <cell r="B15" t="str">
            <v>Produtos Em Vias De Fabrico</v>
          </cell>
          <cell r="C15" t="str">
            <v>20</v>
          </cell>
          <cell r="F15" t="str">
            <v>HITO</v>
          </cell>
          <cell r="G15" t="str">
            <v>11</v>
          </cell>
          <cell r="J15" t="str">
            <v>5L</v>
          </cell>
          <cell r="K15" t="str">
            <v>11</v>
          </cell>
          <cell r="N15" t="str">
            <v>1233</v>
          </cell>
          <cell r="O15" t="str">
            <v>010</v>
          </cell>
          <cell r="S15" t="str">
            <v>PET</v>
          </cell>
          <cell r="T15" t="str">
            <v>11</v>
          </cell>
          <cell r="X15" t="str">
            <v>AZUL - 15 R/G 24261</v>
          </cell>
          <cell r="Y15" t="str">
            <v>15</v>
          </cell>
          <cell r="Z15" t="str">
            <v>AZUL</v>
          </cell>
          <cell r="AH15" t="str">
            <v>Ø115</v>
          </cell>
          <cell r="AI15" t="str">
            <v>11</v>
          </cell>
        </row>
        <row r="16">
          <cell r="B16" t="str">
            <v>Imobilizado</v>
          </cell>
          <cell r="C16" t="str">
            <v>99</v>
          </cell>
          <cell r="F16" t="str">
            <v>BUJON</v>
          </cell>
          <cell r="G16" t="str">
            <v>12</v>
          </cell>
          <cell r="J16" t="str">
            <v>10L</v>
          </cell>
          <cell r="K16" t="str">
            <v>12</v>
          </cell>
          <cell r="N16" t="str">
            <v>1232</v>
          </cell>
          <cell r="O16" t="str">
            <v>011</v>
          </cell>
          <cell r="S16" t="str">
            <v>40-EVOH 70</v>
          </cell>
          <cell r="T16" t="str">
            <v>12</v>
          </cell>
          <cell r="X16" t="str">
            <v>AZUL - 16 R/G 3006</v>
          </cell>
          <cell r="Y16" t="str">
            <v>16</v>
          </cell>
          <cell r="Z16" t="str">
            <v>AZUL</v>
          </cell>
          <cell r="AH16" t="str">
            <v>Ø190</v>
          </cell>
          <cell r="AI16" t="str">
            <v>12</v>
          </cell>
        </row>
        <row r="17">
          <cell r="F17" t="str">
            <v>TAMPA</v>
          </cell>
          <cell r="G17" t="str">
            <v>13</v>
          </cell>
          <cell r="J17" t="str">
            <v>12L</v>
          </cell>
          <cell r="K17" t="str">
            <v>13</v>
          </cell>
          <cell r="N17" t="str">
            <v>0517</v>
          </cell>
          <cell r="O17" t="str">
            <v>012</v>
          </cell>
          <cell r="S17" t="str">
            <v>40-POLYESTER METALIZADO 30/12/35</v>
          </cell>
          <cell r="T17" t="str">
            <v>13</v>
          </cell>
          <cell r="U17" t="str">
            <v>MET. 13</v>
          </cell>
          <cell r="X17" t="str">
            <v>AZUL - 18 R/G 3010 (LAMELA)</v>
          </cell>
          <cell r="Y17" t="str">
            <v>18</v>
          </cell>
          <cell r="Z17" t="str">
            <v>AZUL</v>
          </cell>
          <cell r="AH17" t="str">
            <v>Ø410</v>
          </cell>
          <cell r="AI17" t="str">
            <v>13</v>
          </cell>
        </row>
        <row r="18">
          <cell r="F18" t="str">
            <v>DEPOSITO</v>
          </cell>
          <cell r="G18" t="str">
            <v>14</v>
          </cell>
          <cell r="J18" t="str">
            <v>20L</v>
          </cell>
          <cell r="K18" t="str">
            <v>14</v>
          </cell>
          <cell r="N18" t="str">
            <v>0497</v>
          </cell>
          <cell r="O18" t="str">
            <v>013</v>
          </cell>
          <cell r="S18" t="str">
            <v>EVA</v>
          </cell>
          <cell r="T18" t="str">
            <v>14</v>
          </cell>
          <cell r="X18" t="str">
            <v>AZUL - 21 R/G 3757 (TUBOFURO)</v>
          </cell>
          <cell r="Y18" t="str">
            <v>21</v>
          </cell>
          <cell r="Z18" t="str">
            <v>AZUL</v>
          </cell>
          <cell r="AH18" t="str">
            <v>Ø30</v>
          </cell>
          <cell r="AI18" t="str">
            <v>14</v>
          </cell>
        </row>
        <row r="19">
          <cell r="F19" t="str">
            <v>BICA P\ GARRAFÃO</v>
          </cell>
          <cell r="G19" t="str">
            <v>15</v>
          </cell>
          <cell r="J19" t="str">
            <v>25L</v>
          </cell>
          <cell r="K19" t="str">
            <v>15</v>
          </cell>
          <cell r="N19" t="str">
            <v>0509</v>
          </cell>
          <cell r="O19" t="str">
            <v>014</v>
          </cell>
          <cell r="S19" t="str">
            <v>40-POLYESTER METALIZADO 25/12/35</v>
          </cell>
          <cell r="T19" t="str">
            <v>15</v>
          </cell>
          <cell r="U19" t="str">
            <v>MET. 15</v>
          </cell>
          <cell r="X19" t="str">
            <v>AZUL - 22 R/G 3772 (PRO-IN)</v>
          </cell>
          <cell r="Y19" t="str">
            <v>22</v>
          </cell>
          <cell r="Z19" t="str">
            <v>AZUL</v>
          </cell>
          <cell r="AH19" t="str">
            <v>Ø88</v>
          </cell>
          <cell r="AI19" t="str">
            <v>15</v>
          </cell>
        </row>
        <row r="20">
          <cell r="F20" t="str">
            <v>JARRO</v>
          </cell>
          <cell r="G20" t="str">
            <v>16</v>
          </cell>
          <cell r="J20" t="str">
            <v>30L</v>
          </cell>
          <cell r="K20" t="str">
            <v>16</v>
          </cell>
          <cell r="N20" t="str">
            <v>5207</v>
          </cell>
          <cell r="O20" t="str">
            <v>015</v>
          </cell>
          <cell r="P20" t="str">
            <v>LENA 12 IAGA</v>
          </cell>
          <cell r="S20" t="str">
            <v>PE EXPANDIDO</v>
          </cell>
          <cell r="T20" t="str">
            <v>16</v>
          </cell>
          <cell r="X20" t="str">
            <v>AZUL - 23 R/G 3815  (TECNIVIAL)</v>
          </cell>
          <cell r="Y20" t="str">
            <v>23</v>
          </cell>
          <cell r="Z20" t="str">
            <v>AZUL</v>
          </cell>
          <cell r="AH20" t="str">
            <v>Ø32</v>
          </cell>
          <cell r="AI20" t="str">
            <v>16</v>
          </cell>
        </row>
        <row r="21">
          <cell r="F21" t="str">
            <v>BOION</v>
          </cell>
          <cell r="G21" t="str">
            <v>17</v>
          </cell>
          <cell r="J21" t="str">
            <v>40L</v>
          </cell>
          <cell r="K21" t="str">
            <v>17</v>
          </cell>
          <cell r="N21" t="str">
            <v>0492</v>
          </cell>
          <cell r="O21" t="str">
            <v>016</v>
          </cell>
          <cell r="P21" t="str">
            <v>BICA FLEXIVEL</v>
          </cell>
          <cell r="S21" t="str">
            <v>EPDM</v>
          </cell>
          <cell r="T21" t="str">
            <v>17</v>
          </cell>
          <cell r="X21" t="str">
            <v>AZUL - 24 R/G 4537 (LAMELA)</v>
          </cell>
          <cell r="Y21" t="str">
            <v>24</v>
          </cell>
          <cell r="Z21" t="str">
            <v>AZUL</v>
          </cell>
          <cell r="AH21" t="str">
            <v>Ø40</v>
          </cell>
          <cell r="AI21" t="str">
            <v>17</v>
          </cell>
        </row>
        <row r="22">
          <cell r="F22" t="str">
            <v>BASE</v>
          </cell>
          <cell r="G22" t="str">
            <v>18</v>
          </cell>
          <cell r="J22" t="str">
            <v>45L</v>
          </cell>
          <cell r="K22" t="str">
            <v>18</v>
          </cell>
          <cell r="N22" t="str">
            <v>1190</v>
          </cell>
          <cell r="O22" t="str">
            <v>017</v>
          </cell>
          <cell r="S22" t="str">
            <v>ADITIVO</v>
          </cell>
          <cell r="T22" t="str">
            <v>18</v>
          </cell>
          <cell r="X22" t="str">
            <v>AZUL - 25 (Rotomoldagem)</v>
          </cell>
          <cell r="Y22" t="str">
            <v>25</v>
          </cell>
          <cell r="Z22" t="str">
            <v>AZUL</v>
          </cell>
          <cell r="AH22" t="str">
            <v>Ø400</v>
          </cell>
          <cell r="AI22" t="str">
            <v>18</v>
          </cell>
        </row>
        <row r="23">
          <cell r="F23" t="str">
            <v>COPO</v>
          </cell>
          <cell r="G23" t="str">
            <v>19</v>
          </cell>
          <cell r="J23" t="str">
            <v>50L</v>
          </cell>
          <cell r="K23" t="str">
            <v>19</v>
          </cell>
          <cell r="N23" t="str">
            <v>1198</v>
          </cell>
          <cell r="O23" t="str">
            <v>018</v>
          </cell>
          <cell r="S23" t="str">
            <v>ADITIVO SECANTE</v>
          </cell>
          <cell r="T23" t="str">
            <v>19</v>
          </cell>
          <cell r="X23" t="str">
            <v>BRINGELA</v>
          </cell>
          <cell r="Y23" t="str">
            <v>26</v>
          </cell>
          <cell r="Z23" t="str">
            <v>BRINGELA</v>
          </cell>
          <cell r="AH23" t="str">
            <v>Ø34</v>
          </cell>
          <cell r="AI23" t="str">
            <v>19</v>
          </cell>
        </row>
        <row r="24">
          <cell r="F24" t="str">
            <v>CHAVE APERTO</v>
          </cell>
          <cell r="G24" t="str">
            <v>20</v>
          </cell>
          <cell r="J24" t="str">
            <v>55L</v>
          </cell>
          <cell r="K24" t="str">
            <v>20</v>
          </cell>
          <cell r="N24" t="str">
            <v>1199</v>
          </cell>
          <cell r="O24" t="str">
            <v>019</v>
          </cell>
          <cell r="S24" t="str">
            <v>48-POLYESTER METALIZADO 30/12/35</v>
          </cell>
          <cell r="T24" t="str">
            <v>20</v>
          </cell>
          <cell r="U24" t="str">
            <v>MET. 20</v>
          </cell>
          <cell r="X24" t="str">
            <v>VERDE - 30 R/G 2755</v>
          </cell>
          <cell r="Y24" t="str">
            <v>30</v>
          </cell>
          <cell r="Z24" t="str">
            <v>VERDE</v>
          </cell>
          <cell r="AH24" t="str">
            <v>Ø250</v>
          </cell>
          <cell r="AI24" t="str">
            <v>20</v>
          </cell>
        </row>
        <row r="25">
          <cell r="F25" t="str">
            <v>JARRO MEDIDOR</v>
          </cell>
          <cell r="G25" t="str">
            <v>21</v>
          </cell>
          <cell r="J25" t="str">
            <v>60L</v>
          </cell>
          <cell r="K25" t="str">
            <v>21</v>
          </cell>
          <cell r="N25" t="str">
            <v>1200</v>
          </cell>
          <cell r="O25" t="str">
            <v>020</v>
          </cell>
          <cell r="S25" t="str">
            <v>48-POLYESTER METALIZADO 25/12/35</v>
          </cell>
          <cell r="T25" t="str">
            <v>21</v>
          </cell>
          <cell r="U25" t="str">
            <v>MET. 21</v>
          </cell>
          <cell r="X25" t="str">
            <v>VERDE - 31 R/G 2772</v>
          </cell>
          <cell r="Y25" t="str">
            <v>31</v>
          </cell>
          <cell r="Z25" t="str">
            <v>VERDE</v>
          </cell>
          <cell r="AH25" t="str">
            <v>Ø310</v>
          </cell>
          <cell r="AI25" t="str">
            <v>21</v>
          </cell>
        </row>
        <row r="26">
          <cell r="F26" t="str">
            <v>CINTA METALICA</v>
          </cell>
          <cell r="G26" t="str">
            <v>22</v>
          </cell>
          <cell r="J26" t="str">
            <v>65L</v>
          </cell>
          <cell r="K26" t="str">
            <v>22</v>
          </cell>
          <cell r="N26" t="str">
            <v>1202</v>
          </cell>
          <cell r="O26" t="str">
            <v>021</v>
          </cell>
          <cell r="S26" t="str">
            <v>48-EVOH 70</v>
          </cell>
          <cell r="T26" t="str">
            <v>22</v>
          </cell>
          <cell r="U26" t="str">
            <v>INC.22</v>
          </cell>
          <cell r="X26" t="str">
            <v>VERDE - 32 R/G 4124</v>
          </cell>
          <cell r="Y26" t="str">
            <v>32</v>
          </cell>
          <cell r="Z26" t="str">
            <v>VERDE</v>
          </cell>
          <cell r="AH26" t="str">
            <v>Ø248</v>
          </cell>
          <cell r="AI26" t="str">
            <v>22</v>
          </cell>
        </row>
        <row r="27">
          <cell r="F27" t="str">
            <v>CORANTE</v>
          </cell>
          <cell r="G27" t="str">
            <v>23</v>
          </cell>
          <cell r="J27" t="str">
            <v>70L</v>
          </cell>
          <cell r="K27" t="str">
            <v>23</v>
          </cell>
          <cell r="N27" t="str">
            <v>1203</v>
          </cell>
          <cell r="O27" t="str">
            <v>022</v>
          </cell>
          <cell r="S27" t="str">
            <v>48-EVOH 80</v>
          </cell>
          <cell r="T27" t="str">
            <v>23</v>
          </cell>
          <cell r="U27" t="str">
            <v>INC.23</v>
          </cell>
          <cell r="X27" t="str">
            <v>VERDE - 33 R/G 3769</v>
          </cell>
          <cell r="Y27" t="str">
            <v>33</v>
          </cell>
          <cell r="Z27" t="str">
            <v>VERDE</v>
          </cell>
          <cell r="AH27" t="str">
            <v>Ø350</v>
          </cell>
          <cell r="AI27" t="str">
            <v>23</v>
          </cell>
        </row>
        <row r="28">
          <cell r="F28" t="str">
            <v>CURVA P\ REGADOR</v>
          </cell>
          <cell r="G28" t="str">
            <v>24</v>
          </cell>
          <cell r="J28" t="str">
            <v>75L</v>
          </cell>
          <cell r="K28" t="str">
            <v>24</v>
          </cell>
          <cell r="N28" t="str">
            <v>1205</v>
          </cell>
          <cell r="O28" t="str">
            <v>023</v>
          </cell>
          <cell r="S28" t="str">
            <v>40-EVOH 80</v>
          </cell>
          <cell r="T28" t="str">
            <v>24</v>
          </cell>
          <cell r="U28" t="str">
            <v>INC.24</v>
          </cell>
          <cell r="X28" t="str">
            <v>VERDE - 35</v>
          </cell>
          <cell r="Y28" t="str">
            <v>35</v>
          </cell>
          <cell r="Z28" t="str">
            <v>VERDE</v>
          </cell>
          <cell r="AH28" t="str">
            <v>Ø390</v>
          </cell>
          <cell r="AI28" t="str">
            <v>24</v>
          </cell>
        </row>
        <row r="29">
          <cell r="F29" t="str">
            <v>VENTILAÇÃO PARA TAMPA</v>
          </cell>
          <cell r="G29" t="str">
            <v>25</v>
          </cell>
          <cell r="J29" t="str">
            <v>125L</v>
          </cell>
          <cell r="K29" t="str">
            <v>25</v>
          </cell>
          <cell r="N29" t="str">
            <v>5150</v>
          </cell>
          <cell r="O29" t="str">
            <v>024</v>
          </cell>
          <cell r="S29" t="str">
            <v>45-POLYESTER METALIZADO 30/12/35</v>
          </cell>
          <cell r="T29" t="str">
            <v>25</v>
          </cell>
          <cell r="U29" t="str">
            <v>MET.25</v>
          </cell>
          <cell r="X29" t="str">
            <v>VERDE - 37 R/G 2875</v>
          </cell>
          <cell r="Y29" t="str">
            <v>37</v>
          </cell>
          <cell r="Z29" t="str">
            <v>VERDE</v>
          </cell>
          <cell r="AH29" t="str">
            <v>Ø200</v>
          </cell>
          <cell r="AI29" t="str">
            <v>25</v>
          </cell>
        </row>
        <row r="30">
          <cell r="F30" t="str">
            <v>CAIXA</v>
          </cell>
          <cell r="G30" t="str">
            <v>26</v>
          </cell>
          <cell r="J30" t="str">
            <v>150L</v>
          </cell>
          <cell r="K30" t="str">
            <v>26</v>
          </cell>
          <cell r="N30" t="str">
            <v>5506</v>
          </cell>
          <cell r="O30" t="str">
            <v>025</v>
          </cell>
          <cell r="S30" t="str">
            <v>50-POLYESTER METALIZADO 30/12/35</v>
          </cell>
          <cell r="T30" t="str">
            <v>26</v>
          </cell>
          <cell r="U30" t="str">
            <v>MET.26</v>
          </cell>
          <cell r="X30" t="str">
            <v>VERDE - 38 R/G 4065 (OPIECO)</v>
          </cell>
          <cell r="Y30" t="str">
            <v>38</v>
          </cell>
          <cell r="Z30" t="str">
            <v>VERDE</v>
          </cell>
          <cell r="AH30" t="str">
            <v>Ø370</v>
          </cell>
          <cell r="AI30" t="str">
            <v>26</v>
          </cell>
        </row>
        <row r="31">
          <cell r="F31" t="str">
            <v>CANAVARRO</v>
          </cell>
          <cell r="G31" t="str">
            <v>27</v>
          </cell>
          <cell r="J31" t="str">
            <v>220L</v>
          </cell>
          <cell r="K31" t="str">
            <v>27</v>
          </cell>
          <cell r="N31" t="str">
            <v>9127</v>
          </cell>
          <cell r="O31" t="str">
            <v>026</v>
          </cell>
          <cell r="S31" t="str">
            <v>45-EVOH 70</v>
          </cell>
          <cell r="T31" t="str">
            <v>27</v>
          </cell>
          <cell r="U31" t="str">
            <v>INC.27</v>
          </cell>
          <cell r="X31" t="str">
            <v>VERDE - 39 R/G 4289</v>
          </cell>
          <cell r="Y31" t="str">
            <v>39</v>
          </cell>
          <cell r="Z31" t="str">
            <v>VERDE</v>
          </cell>
          <cell r="AH31" t="str">
            <v>Ø265</v>
          </cell>
          <cell r="AI31" t="str">
            <v>27</v>
          </cell>
        </row>
        <row r="32">
          <cell r="F32" t="str">
            <v>BEBEDOURO</v>
          </cell>
          <cell r="G32" t="str">
            <v>28</v>
          </cell>
          <cell r="J32" t="str">
            <v>240L</v>
          </cell>
          <cell r="K32" t="str">
            <v>28</v>
          </cell>
          <cell r="N32" t="str">
            <v>0491</v>
          </cell>
          <cell r="O32" t="str">
            <v>027</v>
          </cell>
          <cell r="P32" t="str">
            <v>BICA FLEXIVEL</v>
          </cell>
          <cell r="S32" t="str">
            <v>50-EVOH 70</v>
          </cell>
          <cell r="T32" t="str">
            <v>28</v>
          </cell>
          <cell r="U32" t="str">
            <v>INC.28</v>
          </cell>
          <cell r="X32" t="str">
            <v>VERDE - 40 R/G 2950</v>
          </cell>
          <cell r="Y32" t="str">
            <v>40</v>
          </cell>
          <cell r="Z32" t="str">
            <v>VERDE</v>
          </cell>
          <cell r="AH32" t="str">
            <v>Ø365</v>
          </cell>
          <cell r="AI32" t="str">
            <v>28</v>
          </cell>
        </row>
        <row r="33">
          <cell r="F33" t="str">
            <v>GARRAFA</v>
          </cell>
          <cell r="G33" t="str">
            <v>29</v>
          </cell>
          <cell r="J33" t="str">
            <v>1000L</v>
          </cell>
          <cell r="K33" t="str">
            <v>29</v>
          </cell>
          <cell r="N33" t="str">
            <v>1207</v>
          </cell>
          <cell r="O33" t="str">
            <v>028</v>
          </cell>
          <cell r="S33" t="str">
            <v>45-EVOH 80</v>
          </cell>
          <cell r="T33" t="str">
            <v>29</v>
          </cell>
          <cell r="U33" t="str">
            <v>INC.29</v>
          </cell>
          <cell r="X33" t="str">
            <v>VERDE - 41 R/G 24068</v>
          </cell>
          <cell r="Y33" t="str">
            <v>41</v>
          </cell>
          <cell r="Z33" t="str">
            <v>VERDE</v>
          </cell>
          <cell r="AH33" t="str">
            <v>Ø340</v>
          </cell>
          <cell r="AI33" t="str">
            <v>29</v>
          </cell>
        </row>
        <row r="34">
          <cell r="F34" t="str">
            <v>BiB</v>
          </cell>
          <cell r="G34" t="str">
            <v>30</v>
          </cell>
          <cell r="J34" t="str">
            <v>2,5L</v>
          </cell>
          <cell r="K34" t="str">
            <v>30</v>
          </cell>
          <cell r="N34" t="str">
            <v>1213</v>
          </cell>
          <cell r="O34" t="str">
            <v>029</v>
          </cell>
          <cell r="S34" t="str">
            <v>Série 30 -  Coex3</v>
          </cell>
          <cell r="T34" t="str">
            <v>30</v>
          </cell>
          <cell r="X34" t="str">
            <v>VERDE - 42 R/G4400 (Massilly/Intman)</v>
          </cell>
          <cell r="Y34" t="str">
            <v>42</v>
          </cell>
          <cell r="Z34" t="str">
            <v>VERDE</v>
          </cell>
          <cell r="AH34" t="str">
            <v>Ø270</v>
          </cell>
          <cell r="AI34" t="str">
            <v>30</v>
          </cell>
        </row>
        <row r="35">
          <cell r="F35" t="str">
            <v>BALDE</v>
          </cell>
          <cell r="G35" t="str">
            <v>31</v>
          </cell>
          <cell r="J35" t="str">
            <v>15L</v>
          </cell>
          <cell r="K35" t="str">
            <v>31</v>
          </cell>
          <cell r="N35" t="str">
            <v>1215</v>
          </cell>
          <cell r="O35" t="str">
            <v>030</v>
          </cell>
          <cell r="S35" t="str">
            <v>31. Cor / Inc Corado / Inc</v>
          </cell>
          <cell r="T35" t="str">
            <v>31</v>
          </cell>
          <cell r="X35" t="str">
            <v>VERDE - 45 R/G 3676 (RISO)</v>
          </cell>
          <cell r="Y35" t="str">
            <v>45</v>
          </cell>
          <cell r="Z35" t="str">
            <v>VERDE</v>
          </cell>
          <cell r="AH35" t="str">
            <v>Ø30</v>
          </cell>
          <cell r="AI35" t="str">
            <v>31</v>
          </cell>
        </row>
        <row r="36">
          <cell r="F36" t="str">
            <v>VEDANTE</v>
          </cell>
          <cell r="G36" t="str">
            <v>32</v>
          </cell>
          <cell r="J36" t="str">
            <v>4,5L</v>
          </cell>
          <cell r="K36" t="str">
            <v>32</v>
          </cell>
          <cell r="N36" t="str">
            <v>1218</v>
          </cell>
          <cell r="O36" t="str">
            <v>031</v>
          </cell>
          <cell r="S36" t="str">
            <v>32. Cor / Preto / Inc</v>
          </cell>
          <cell r="T36" t="str">
            <v>32</v>
          </cell>
          <cell r="X36" t="str">
            <v>VERDE - 46 R/G 3688 (MOVELAR)</v>
          </cell>
          <cell r="Y36" t="str">
            <v>46</v>
          </cell>
          <cell r="Z36" t="str">
            <v>VERDE</v>
          </cell>
          <cell r="AH36" t="str">
            <v>Ø22</v>
          </cell>
          <cell r="AI36" t="str">
            <v>32</v>
          </cell>
        </row>
        <row r="37">
          <cell r="F37" t="str">
            <v>RESERVATÓRIO</v>
          </cell>
          <cell r="G37" t="str">
            <v>33</v>
          </cell>
          <cell r="J37" t="str">
            <v>100L</v>
          </cell>
          <cell r="K37" t="str">
            <v>33</v>
          </cell>
          <cell r="N37" t="str">
            <v>1220</v>
          </cell>
          <cell r="O37" t="str">
            <v>032</v>
          </cell>
          <cell r="S37" t="str">
            <v>Série 40 -  Coex4</v>
          </cell>
          <cell r="T37" t="str">
            <v>40</v>
          </cell>
          <cell r="X37" t="str">
            <v>VERDE - 47 R/G 3761 (PRO-IN)</v>
          </cell>
          <cell r="Y37" t="str">
            <v>47</v>
          </cell>
          <cell r="Z37" t="str">
            <v>VERDE</v>
          </cell>
          <cell r="AH37" t="str">
            <v>Ø15</v>
          </cell>
          <cell r="AI37" t="str">
            <v>33</v>
          </cell>
        </row>
        <row r="38">
          <cell r="F38" t="str">
            <v>BICO P/ JERRYCAN</v>
          </cell>
          <cell r="G38" t="str">
            <v>34</v>
          </cell>
          <cell r="J38" t="str">
            <v>0,300L</v>
          </cell>
          <cell r="K38" t="str">
            <v>34</v>
          </cell>
          <cell r="N38" t="str">
            <v>1250</v>
          </cell>
          <cell r="O38" t="str">
            <v>033</v>
          </cell>
          <cell r="S38" t="str">
            <v>41. Cor / Inc Corado / adesivo / poliamida</v>
          </cell>
          <cell r="T38" t="str">
            <v>41</v>
          </cell>
          <cell r="X38" t="str">
            <v>VERDE - 48 R/G 5/849 (POLIVERSAL)</v>
          </cell>
          <cell r="Y38" t="str">
            <v>48</v>
          </cell>
          <cell r="Z38" t="str">
            <v>VERDE</v>
          </cell>
          <cell r="AH38" t="str">
            <v>Ø280</v>
          </cell>
          <cell r="AI38" t="str">
            <v>34</v>
          </cell>
        </row>
        <row r="39">
          <cell r="F39" t="str">
            <v>TORNEIRA</v>
          </cell>
          <cell r="G39" t="str">
            <v>35</v>
          </cell>
          <cell r="J39" t="str">
            <v>0,950L</v>
          </cell>
          <cell r="K39" t="str">
            <v>35</v>
          </cell>
          <cell r="N39" t="str">
            <v>1251</v>
          </cell>
          <cell r="O39" t="str">
            <v>034</v>
          </cell>
          <cell r="S39" t="str">
            <v>42. Cor / Preto / adesivo / poliamida</v>
          </cell>
          <cell r="T39" t="str">
            <v>42</v>
          </cell>
          <cell r="X39" t="str">
            <v>VERDE - 49 R/G 4230 (SERCAÇA)</v>
          </cell>
          <cell r="Y39" t="str">
            <v>49</v>
          </cell>
          <cell r="Z39" t="str">
            <v>VERDE</v>
          </cell>
          <cell r="AH39" t="str">
            <v>Ø20</v>
          </cell>
          <cell r="AI39" t="str">
            <v>35</v>
          </cell>
        </row>
        <row r="40">
          <cell r="F40" t="str">
            <v>CRIVO REGADOR</v>
          </cell>
          <cell r="G40" t="str">
            <v>36</v>
          </cell>
          <cell r="J40" t="str">
            <v>0,150L</v>
          </cell>
          <cell r="K40" t="str">
            <v>36</v>
          </cell>
          <cell r="N40" t="str">
            <v>1252</v>
          </cell>
          <cell r="O40" t="str">
            <v>035</v>
          </cell>
          <cell r="S40" t="str">
            <v>Série 50 -  Coex2</v>
          </cell>
          <cell r="T40" t="str">
            <v>50</v>
          </cell>
          <cell r="X40" t="str">
            <v>AMARELO - 50 R/G 2505</v>
          </cell>
          <cell r="Y40" t="str">
            <v>50</v>
          </cell>
          <cell r="Z40" t="str">
            <v>AMARELO</v>
          </cell>
          <cell r="AH40" t="str">
            <v>Ø195</v>
          </cell>
          <cell r="AI40" t="str">
            <v>36</v>
          </cell>
        </row>
        <row r="41">
          <cell r="F41" t="str">
            <v>PULVERIZADOR</v>
          </cell>
          <cell r="G41" t="str">
            <v>37</v>
          </cell>
          <cell r="J41" t="str">
            <v>0,040L</v>
          </cell>
          <cell r="K41" t="str">
            <v>37</v>
          </cell>
          <cell r="N41" t="str">
            <v>1253</v>
          </cell>
          <cell r="O41" t="str">
            <v>036</v>
          </cell>
          <cell r="S41" t="str">
            <v>51. Cor / Inc Corado</v>
          </cell>
          <cell r="T41" t="str">
            <v>51</v>
          </cell>
          <cell r="X41" t="str">
            <v>AMARELO - 51 R/G 2495</v>
          </cell>
          <cell r="Y41" t="str">
            <v>51</v>
          </cell>
          <cell r="Z41" t="str">
            <v>AMARELO</v>
          </cell>
          <cell r="AH41" t="str">
            <v>Ø150</v>
          </cell>
          <cell r="AI41" t="str">
            <v>37</v>
          </cell>
        </row>
        <row r="42">
          <cell r="F42" t="str">
            <v>DOSEADOR</v>
          </cell>
          <cell r="G42" t="str">
            <v>38</v>
          </cell>
          <cell r="J42" t="str">
            <v>120CM</v>
          </cell>
          <cell r="K42" t="str">
            <v>38</v>
          </cell>
          <cell r="N42" t="str">
            <v>1254</v>
          </cell>
          <cell r="O42" t="str">
            <v>037</v>
          </cell>
          <cell r="S42" t="str">
            <v>52. Cor / Preto</v>
          </cell>
          <cell r="T42" t="str">
            <v>52</v>
          </cell>
          <cell r="X42" t="str">
            <v>AMARELO - 52</v>
          </cell>
          <cell r="Y42" t="str">
            <v>52</v>
          </cell>
          <cell r="Z42" t="str">
            <v>AMARELO</v>
          </cell>
          <cell r="AH42" t="str">
            <v>Ø16</v>
          </cell>
          <cell r="AI42" t="str">
            <v>38</v>
          </cell>
        </row>
        <row r="43">
          <cell r="F43" t="str">
            <v>ASA</v>
          </cell>
          <cell r="G43" t="str">
            <v>39</v>
          </cell>
          <cell r="J43" t="str">
            <v>0,100L</v>
          </cell>
          <cell r="K43" t="str">
            <v>39</v>
          </cell>
          <cell r="N43" t="str">
            <v>1255</v>
          </cell>
          <cell r="O43" t="str">
            <v>038</v>
          </cell>
          <cell r="S43" t="str">
            <v>50-EVOH 80</v>
          </cell>
          <cell r="T43" t="str">
            <v>80</v>
          </cell>
          <cell r="U43" t="str">
            <v>INC.30</v>
          </cell>
          <cell r="X43" t="str">
            <v>AMARELO - 53 R/G 2891</v>
          </cell>
          <cell r="Y43" t="str">
            <v>53</v>
          </cell>
          <cell r="Z43" t="str">
            <v>AMARELO</v>
          </cell>
          <cell r="AH43" t="str">
            <v>Ø56</v>
          </cell>
          <cell r="AI43" t="str">
            <v>39</v>
          </cell>
        </row>
        <row r="44">
          <cell r="F44" t="str">
            <v>SUPORTE PARA ASA</v>
          </cell>
          <cell r="G44" t="str">
            <v>40</v>
          </cell>
          <cell r="J44" t="str">
            <v>0,060L</v>
          </cell>
          <cell r="K44" t="str">
            <v>40</v>
          </cell>
          <cell r="N44" t="str">
            <v>1256</v>
          </cell>
          <cell r="O44" t="str">
            <v>039</v>
          </cell>
          <cell r="S44" t="str">
            <v>PCR</v>
          </cell>
          <cell r="T44" t="str">
            <v>90</v>
          </cell>
          <cell r="X44" t="str">
            <v>AMARELO - 56 R/G 3042</v>
          </cell>
          <cell r="Y44" t="str">
            <v>56</v>
          </cell>
          <cell r="Z44" t="str">
            <v>AMARELO</v>
          </cell>
          <cell r="AH44" t="str">
            <v>Ø90</v>
          </cell>
          <cell r="AI44" t="str">
            <v>40</v>
          </cell>
        </row>
        <row r="45">
          <cell r="F45" t="str">
            <v>CELHA</v>
          </cell>
          <cell r="G45" t="str">
            <v>41</v>
          </cell>
          <cell r="J45" t="str">
            <v>0,050L</v>
          </cell>
          <cell r="K45" t="str">
            <v>41</v>
          </cell>
          <cell r="N45" t="str">
            <v>1257</v>
          </cell>
          <cell r="O45" t="str">
            <v>040</v>
          </cell>
          <cell r="S45" t="str">
            <v>Cor /sem corante</v>
          </cell>
          <cell r="T45" t="str">
            <v>91</v>
          </cell>
          <cell r="U45" t="str">
            <v>2 camadas</v>
          </cell>
          <cell r="X45" t="str">
            <v>AMARELO - 57 R/G 3274</v>
          </cell>
          <cell r="Y45" t="str">
            <v>57</v>
          </cell>
          <cell r="Z45" t="str">
            <v>AMARELO</v>
          </cell>
          <cell r="AH45" t="str">
            <v>Ø8</v>
          </cell>
          <cell r="AI45" t="str">
            <v>41</v>
          </cell>
        </row>
        <row r="46">
          <cell r="F46" t="str">
            <v>GARRAFÃO PET</v>
          </cell>
          <cell r="G46" t="str">
            <v>42</v>
          </cell>
          <cell r="J46" t="str">
            <v>0,020L</v>
          </cell>
          <cell r="K46" t="str">
            <v>42</v>
          </cell>
          <cell r="N46" t="str">
            <v>1258</v>
          </cell>
          <cell r="O46" t="str">
            <v>041</v>
          </cell>
          <cell r="S46" t="str">
            <v>Cor / corante</v>
          </cell>
          <cell r="T46" t="str">
            <v>92</v>
          </cell>
          <cell r="U46" t="str">
            <v>2 camadas</v>
          </cell>
          <cell r="X46" t="str">
            <v>AMARELO - 60 MB 21801 (Jodel)</v>
          </cell>
          <cell r="Y46" t="str">
            <v>60</v>
          </cell>
          <cell r="Z46" t="str">
            <v>AMARELO</v>
          </cell>
          <cell r="AH46" t="str">
            <v>Ø10</v>
          </cell>
          <cell r="AI46" t="str">
            <v>42</v>
          </cell>
        </row>
        <row r="47">
          <cell r="F47" t="str">
            <v>GARRAFA PET</v>
          </cell>
          <cell r="G47" t="str">
            <v>43</v>
          </cell>
          <cell r="J47" t="str">
            <v>0,180L</v>
          </cell>
          <cell r="K47" t="str">
            <v>43</v>
          </cell>
          <cell r="N47" t="str">
            <v>1259</v>
          </cell>
          <cell r="O47" t="str">
            <v>042</v>
          </cell>
          <cell r="S47" t="str">
            <v>Cor / corante / incolor</v>
          </cell>
          <cell r="T47" t="str">
            <v>93</v>
          </cell>
          <cell r="U47" t="str">
            <v>3 camadas</v>
          </cell>
          <cell r="X47" t="str">
            <v>AMARELO - 62 R/G 4011 (PRO-IN)</v>
          </cell>
          <cell r="Y47" t="str">
            <v>62</v>
          </cell>
          <cell r="Z47" t="str">
            <v>AMARELO</v>
          </cell>
          <cell r="AH47" t="str">
            <v>Ø123</v>
          </cell>
          <cell r="AI47" t="str">
            <v>43</v>
          </cell>
        </row>
        <row r="48">
          <cell r="F48" t="str">
            <v>PRÉ-FORMA PET</v>
          </cell>
          <cell r="G48" t="str">
            <v>44</v>
          </cell>
          <cell r="J48" t="str">
            <v>0,130L</v>
          </cell>
          <cell r="K48" t="str">
            <v>44</v>
          </cell>
          <cell r="N48" t="str">
            <v>1260</v>
          </cell>
          <cell r="O48" t="str">
            <v>043</v>
          </cell>
          <cell r="S48" t="str">
            <v>Cor / PCR + Rebarba / incolor</v>
          </cell>
          <cell r="T48" t="str">
            <v>94</v>
          </cell>
          <cell r="U48" t="str">
            <v>3 camadas</v>
          </cell>
          <cell r="X48" t="str">
            <v>AMARELO - 63 (AROS)</v>
          </cell>
          <cell r="Y48" t="str">
            <v>63</v>
          </cell>
          <cell r="Z48" t="str">
            <v>AMARELO</v>
          </cell>
          <cell r="AH48" t="str">
            <v>Ø65</v>
          </cell>
          <cell r="AI48" t="str">
            <v>44</v>
          </cell>
        </row>
        <row r="49">
          <cell r="F49" t="str">
            <v>PRODUTO CLIENTE</v>
          </cell>
          <cell r="G49" t="str">
            <v>99</v>
          </cell>
          <cell r="J49" t="str">
            <v>13L</v>
          </cell>
          <cell r="K49" t="str">
            <v>45</v>
          </cell>
          <cell r="N49" t="str">
            <v>1261</v>
          </cell>
          <cell r="O49" t="str">
            <v>044</v>
          </cell>
          <cell r="S49" t="str">
            <v>1 camada -&gt; PCR + Cor + Aditivo</v>
          </cell>
          <cell r="T49" t="str">
            <v>95</v>
          </cell>
          <cell r="U49" t="str">
            <v>1 camada</v>
          </cell>
          <cell r="X49" t="str">
            <v>VERDE - 64 (AROS)</v>
          </cell>
          <cell r="Y49" t="str">
            <v>64</v>
          </cell>
          <cell r="Z49" t="str">
            <v>VERDE</v>
          </cell>
          <cell r="AH49" t="str">
            <v>Ø110</v>
          </cell>
          <cell r="AI49" t="str">
            <v>45</v>
          </cell>
        </row>
        <row r="50">
          <cell r="J50" t="str">
            <v>1,2L</v>
          </cell>
          <cell r="K50" t="str">
            <v>46</v>
          </cell>
          <cell r="N50" t="str">
            <v>1262</v>
          </cell>
          <cell r="O50" t="str">
            <v>045</v>
          </cell>
          <cell r="X50" t="str">
            <v>VERDE 65</v>
          </cell>
          <cell r="Y50" t="str">
            <v>65</v>
          </cell>
          <cell r="Z50" t="str">
            <v>VERDE</v>
          </cell>
          <cell r="AH50" t="str">
            <v>Ø33</v>
          </cell>
          <cell r="AI50" t="str">
            <v>46</v>
          </cell>
        </row>
        <row r="51">
          <cell r="J51" t="str">
            <v>9L</v>
          </cell>
          <cell r="K51" t="str">
            <v>47</v>
          </cell>
          <cell r="N51" t="str">
            <v>1264</v>
          </cell>
          <cell r="O51" t="str">
            <v>046</v>
          </cell>
          <cell r="X51" t="str">
            <v>VERMELHO - 69 R/G ____ (UNICHEME)</v>
          </cell>
          <cell r="Y51" t="str">
            <v>69</v>
          </cell>
          <cell r="Z51" t="str">
            <v>VERMELHO</v>
          </cell>
          <cell r="AH51" t="str">
            <v>Ø26</v>
          </cell>
          <cell r="AI51" t="str">
            <v>47</v>
          </cell>
        </row>
        <row r="52">
          <cell r="J52" t="str">
            <v>7L</v>
          </cell>
          <cell r="K52" t="str">
            <v>48</v>
          </cell>
          <cell r="N52" t="str">
            <v>1265</v>
          </cell>
          <cell r="O52" t="str">
            <v>047</v>
          </cell>
          <cell r="X52" t="str">
            <v>VERMELHO - 70 R/G 5200</v>
          </cell>
          <cell r="Y52" t="str">
            <v>70</v>
          </cell>
          <cell r="Z52" t="str">
            <v>VERMELHO</v>
          </cell>
          <cell r="AH52" t="str">
            <v>Ø21</v>
          </cell>
          <cell r="AI52" t="str">
            <v>48</v>
          </cell>
        </row>
        <row r="53">
          <cell r="J53" t="str">
            <v>4L</v>
          </cell>
          <cell r="K53" t="str">
            <v>49</v>
          </cell>
          <cell r="N53" t="str">
            <v>1266</v>
          </cell>
          <cell r="O53" t="str">
            <v>048</v>
          </cell>
          <cell r="X53" t="str">
            <v>BORDEAUX - 71 R/G 2896</v>
          </cell>
          <cell r="Y53" t="str">
            <v>71</v>
          </cell>
          <cell r="Z53" t="str">
            <v>BORDEAUX</v>
          </cell>
          <cell r="AH53" t="str">
            <v>Ø185</v>
          </cell>
          <cell r="AI53" t="str">
            <v>49</v>
          </cell>
        </row>
        <row r="54">
          <cell r="J54" t="str">
            <v>230L</v>
          </cell>
          <cell r="K54" t="str">
            <v>50</v>
          </cell>
          <cell r="N54" t="str">
            <v>1267</v>
          </cell>
          <cell r="O54" t="str">
            <v>049</v>
          </cell>
          <cell r="X54" t="str">
            <v>LARANJA - 72 R/G 2749</v>
          </cell>
          <cell r="Y54" t="str">
            <v>72</v>
          </cell>
          <cell r="Z54" t="str">
            <v>LARANJA</v>
          </cell>
          <cell r="AH54" t="str">
            <v>Ø36</v>
          </cell>
          <cell r="AI54" t="str">
            <v>50</v>
          </cell>
        </row>
        <row r="55">
          <cell r="J55" t="str">
            <v>60CM</v>
          </cell>
          <cell r="K55" t="str">
            <v>51</v>
          </cell>
          <cell r="N55" t="str">
            <v>1268</v>
          </cell>
          <cell r="O55" t="str">
            <v>050</v>
          </cell>
          <cell r="X55" t="str">
            <v>ROSA</v>
          </cell>
          <cell r="Y55" t="str">
            <v>73</v>
          </cell>
          <cell r="Z55" t="str">
            <v>ROSA</v>
          </cell>
          <cell r="AH55" t="str">
            <v>Ø57</v>
          </cell>
          <cell r="AI55" t="str">
            <v>51</v>
          </cell>
        </row>
        <row r="56">
          <cell r="J56" t="str">
            <v>75CM</v>
          </cell>
          <cell r="K56" t="str">
            <v>52</v>
          </cell>
          <cell r="N56" t="str">
            <v>1269</v>
          </cell>
          <cell r="O56" t="str">
            <v>051</v>
          </cell>
          <cell r="X56" t="str">
            <v>LARANJA - 74 R/G 22649</v>
          </cell>
          <cell r="Y56" t="str">
            <v>74</v>
          </cell>
          <cell r="Z56" t="str">
            <v>LARANJA</v>
          </cell>
          <cell r="AH56" t="str">
            <v>Ø135</v>
          </cell>
          <cell r="AI56" t="str">
            <v>52</v>
          </cell>
        </row>
        <row r="57">
          <cell r="J57" t="str">
            <v>80CM</v>
          </cell>
          <cell r="K57" t="str">
            <v>53</v>
          </cell>
          <cell r="N57" t="str">
            <v>1270</v>
          </cell>
          <cell r="O57" t="str">
            <v>052</v>
          </cell>
          <cell r="X57" t="str">
            <v>VERMELHO - 75 R/G 4228</v>
          </cell>
          <cell r="Y57" t="str">
            <v>75</v>
          </cell>
          <cell r="Z57" t="str">
            <v>VERMELHO</v>
          </cell>
          <cell r="AH57" t="str">
            <v>Ø320</v>
          </cell>
          <cell r="AI57" t="str">
            <v>53</v>
          </cell>
        </row>
        <row r="58">
          <cell r="J58" t="str">
            <v>0,250L</v>
          </cell>
          <cell r="K58" t="str">
            <v>54</v>
          </cell>
          <cell r="N58" t="str">
            <v>1340</v>
          </cell>
          <cell r="O58" t="str">
            <v>053</v>
          </cell>
          <cell r="P58" t="str">
            <v>CONICA</v>
          </cell>
          <cell r="X58" t="str">
            <v>VERMELHO - 76 R/G 3141</v>
          </cell>
          <cell r="Y58" t="str">
            <v>76</v>
          </cell>
          <cell r="Z58" t="str">
            <v>VERMELHO</v>
          </cell>
          <cell r="AH58" t="str">
            <v>Ø285</v>
          </cell>
          <cell r="AI58" t="str">
            <v>54</v>
          </cell>
        </row>
        <row r="59">
          <cell r="J59" t="str">
            <v>0,400L</v>
          </cell>
          <cell r="K59" t="str">
            <v>55</v>
          </cell>
          <cell r="N59" t="str">
            <v>1350</v>
          </cell>
          <cell r="O59" t="str">
            <v>054</v>
          </cell>
          <cell r="P59" t="str">
            <v>CONICA</v>
          </cell>
          <cell r="X59" t="str">
            <v>LARANJA - 77 R/G 3672 (PRO-IN)</v>
          </cell>
          <cell r="Y59" t="str">
            <v>77</v>
          </cell>
          <cell r="Z59" t="str">
            <v>LARANJA</v>
          </cell>
          <cell r="AH59" t="str">
            <v>Ø78</v>
          </cell>
          <cell r="AI59" t="str">
            <v>55</v>
          </cell>
        </row>
        <row r="60">
          <cell r="J60" t="str">
            <v>4,2L</v>
          </cell>
          <cell r="K60" t="str">
            <v>56</v>
          </cell>
          <cell r="N60" t="str">
            <v>2001</v>
          </cell>
          <cell r="O60" t="str">
            <v>055</v>
          </cell>
          <cell r="X60" t="str">
            <v>VERMELHO - 78 R/G (CROMITAP)</v>
          </cell>
          <cell r="Y60" t="str">
            <v>78</v>
          </cell>
          <cell r="Z60" t="str">
            <v>VERMELHO</v>
          </cell>
          <cell r="AH60" t="str">
            <v>Ø326</v>
          </cell>
          <cell r="AI60" t="str">
            <v>56</v>
          </cell>
        </row>
        <row r="61">
          <cell r="J61" t="str">
            <v>0,850L</v>
          </cell>
          <cell r="K61" t="str">
            <v>57</v>
          </cell>
          <cell r="N61" t="str">
            <v>2003</v>
          </cell>
          <cell r="O61" t="str">
            <v>056</v>
          </cell>
          <cell r="X61" t="str">
            <v>VERMELHO - 79 R/G 3716</v>
          </cell>
          <cell r="Y61" t="str">
            <v>79</v>
          </cell>
          <cell r="Z61" t="str">
            <v>VERMELHO</v>
          </cell>
          <cell r="AH61" t="str">
            <v>Ø227</v>
          </cell>
          <cell r="AI61" t="str">
            <v>57</v>
          </cell>
        </row>
        <row r="62">
          <cell r="J62" t="str">
            <v>0,025L</v>
          </cell>
          <cell r="K62" t="str">
            <v>58</v>
          </cell>
          <cell r="N62" t="str">
            <v>2004</v>
          </cell>
          <cell r="O62" t="str">
            <v>057</v>
          </cell>
          <cell r="X62" t="str">
            <v>CASTANHO - 80 R/G 2937</v>
          </cell>
          <cell r="Y62" t="str">
            <v>80</v>
          </cell>
          <cell r="Z62" t="str">
            <v>CASTANHO</v>
          </cell>
          <cell r="AH62" t="str">
            <v>Ø201</v>
          </cell>
          <cell r="AI62" t="str">
            <v>58</v>
          </cell>
        </row>
        <row r="63">
          <cell r="J63" t="str">
            <v>3L</v>
          </cell>
          <cell r="K63" t="str">
            <v>59</v>
          </cell>
          <cell r="N63" t="str">
            <v>2005</v>
          </cell>
          <cell r="O63" t="str">
            <v>058</v>
          </cell>
          <cell r="X63" t="str">
            <v>VERMELHO - 81 (RAL 3028)</v>
          </cell>
          <cell r="Y63" t="str">
            <v>81</v>
          </cell>
          <cell r="Z63" t="str">
            <v>VERMELHO</v>
          </cell>
          <cell r="AH63" t="str">
            <v>Ø294</v>
          </cell>
          <cell r="AI63" t="str">
            <v>59</v>
          </cell>
        </row>
        <row r="64">
          <cell r="J64" t="str">
            <v>5,3L</v>
          </cell>
          <cell r="K64" t="str">
            <v>60</v>
          </cell>
          <cell r="N64" t="str">
            <v>2006</v>
          </cell>
          <cell r="O64" t="str">
            <v>059</v>
          </cell>
          <cell r="X64" t="str">
            <v>PRATEADO</v>
          </cell>
          <cell r="Y64" t="str">
            <v>82</v>
          </cell>
          <cell r="Z64" t="str">
            <v>PRATEADO</v>
          </cell>
          <cell r="AH64" t="str">
            <v>Ø77</v>
          </cell>
          <cell r="AI64" t="str">
            <v>60</v>
          </cell>
        </row>
        <row r="65">
          <cell r="J65" t="str">
            <v>5,6L</v>
          </cell>
          <cell r="K65" t="str">
            <v>61</v>
          </cell>
          <cell r="N65" t="str">
            <v>2007</v>
          </cell>
          <cell r="O65" t="str">
            <v>060</v>
          </cell>
          <cell r="X65" t="str">
            <v>VERMELHO - 83 (Polisport)</v>
          </cell>
          <cell r="Y65" t="str">
            <v>83</v>
          </cell>
          <cell r="Z65" t="str">
            <v>VERMELHO</v>
          </cell>
          <cell r="AH65" t="str">
            <v>Ø225</v>
          </cell>
          <cell r="AI65" t="str">
            <v>61</v>
          </cell>
        </row>
        <row r="66">
          <cell r="J66" t="str">
            <v>14L</v>
          </cell>
          <cell r="K66" t="str">
            <v>62</v>
          </cell>
          <cell r="N66" t="str">
            <v>2008</v>
          </cell>
          <cell r="O66" t="str">
            <v>061</v>
          </cell>
          <cell r="X66" t="str">
            <v>CINZENTO - 84 (Base Movelar)</v>
          </cell>
          <cell r="Y66" t="str">
            <v>84</v>
          </cell>
          <cell r="Z66" t="str">
            <v>CINZENTO</v>
          </cell>
          <cell r="AH66" t="str">
            <v>Ø6</v>
          </cell>
          <cell r="AI66" t="str">
            <v>62</v>
          </cell>
        </row>
        <row r="67">
          <cell r="J67" t="str">
            <v>0,200L</v>
          </cell>
          <cell r="K67" t="str">
            <v>63</v>
          </cell>
          <cell r="N67" t="str">
            <v>2009</v>
          </cell>
          <cell r="O67" t="str">
            <v>062</v>
          </cell>
          <cell r="X67" t="str">
            <v>PRETO - 90 R/G 1162</v>
          </cell>
          <cell r="Y67" t="str">
            <v>90</v>
          </cell>
          <cell r="Z67" t="str">
            <v>PRETO</v>
          </cell>
          <cell r="AH67" t="str">
            <v>Ø63/33</v>
          </cell>
          <cell r="AI67" t="str">
            <v>63</v>
          </cell>
        </row>
        <row r="68">
          <cell r="J68" t="str">
            <v>6L</v>
          </cell>
          <cell r="K68" t="str">
            <v>64</v>
          </cell>
          <cell r="N68" t="str">
            <v>0342</v>
          </cell>
          <cell r="O68" t="str">
            <v>063</v>
          </cell>
          <cell r="X68" t="str">
            <v>CINZENTO 91 R/G 2482</v>
          </cell>
          <cell r="Y68" t="str">
            <v>91</v>
          </cell>
          <cell r="Z68" t="str">
            <v>CINZENTO</v>
          </cell>
          <cell r="AH68" t="str">
            <v>Ø175</v>
          </cell>
          <cell r="AI68" t="str">
            <v>64</v>
          </cell>
        </row>
        <row r="69">
          <cell r="J69" t="str">
            <v>8L</v>
          </cell>
          <cell r="K69" t="str">
            <v>65</v>
          </cell>
          <cell r="N69" t="str">
            <v>0440</v>
          </cell>
          <cell r="O69" t="str">
            <v>064</v>
          </cell>
          <cell r="X69" t="str">
            <v>CINZENTO - 92 R/G 2682</v>
          </cell>
          <cell r="Y69" t="str">
            <v>92</v>
          </cell>
          <cell r="Z69" t="str">
            <v>CINZENTO</v>
          </cell>
          <cell r="AH69" t="str">
            <v>Ø42</v>
          </cell>
          <cell r="AI69" t="str">
            <v>65</v>
          </cell>
        </row>
        <row r="70">
          <cell r="J70" t="str">
            <v>0,070L</v>
          </cell>
          <cell r="K70" t="str">
            <v>66</v>
          </cell>
          <cell r="N70" t="str">
            <v>0566</v>
          </cell>
          <cell r="O70" t="str">
            <v>065</v>
          </cell>
          <cell r="X70" t="str">
            <v>CINZENTO - 93</v>
          </cell>
          <cell r="Y70" t="str">
            <v>93</v>
          </cell>
          <cell r="Z70" t="str">
            <v>CINZENTO</v>
          </cell>
          <cell r="AH70" t="str">
            <v>Ø45/26</v>
          </cell>
          <cell r="AI70" t="str">
            <v>66</v>
          </cell>
        </row>
        <row r="71">
          <cell r="J71" t="str">
            <v>640L</v>
          </cell>
          <cell r="K71" t="str">
            <v>67</v>
          </cell>
          <cell r="N71" t="str">
            <v>5008</v>
          </cell>
          <cell r="O71" t="str">
            <v>066</v>
          </cell>
          <cell r="P71" t="str">
            <v>DEPOSITO TOMIX</v>
          </cell>
          <cell r="X71" t="str">
            <v>CINZENTO - 94</v>
          </cell>
          <cell r="Y71" t="str">
            <v>94</v>
          </cell>
          <cell r="Z71" t="str">
            <v>CINZENTO</v>
          </cell>
          <cell r="AH71" t="str">
            <v>Ø45</v>
          </cell>
          <cell r="AI71" t="str">
            <v>67</v>
          </cell>
        </row>
        <row r="72">
          <cell r="J72" t="str">
            <v>1600L</v>
          </cell>
          <cell r="K72" t="str">
            <v>68</v>
          </cell>
          <cell r="N72" t="str">
            <v>5024</v>
          </cell>
          <cell r="O72" t="str">
            <v>067</v>
          </cell>
          <cell r="X72" t="str">
            <v>CINZENTO - 95 R/G 4014 (PRO-IN)</v>
          </cell>
          <cell r="Y72" t="str">
            <v>95</v>
          </cell>
          <cell r="Z72" t="str">
            <v>CINZENTO</v>
          </cell>
          <cell r="AH72" t="str">
            <v>Ø50/32</v>
          </cell>
          <cell r="AI72" t="str">
            <v>68</v>
          </cell>
        </row>
        <row r="73">
          <cell r="J73" t="str">
            <v>1250L</v>
          </cell>
          <cell r="K73" t="str">
            <v>69</v>
          </cell>
          <cell r="N73" t="str">
            <v>5201</v>
          </cell>
          <cell r="O73" t="str">
            <v>068</v>
          </cell>
          <cell r="P73" t="str">
            <v>CALDA SIMPLES</v>
          </cell>
          <cell r="X73" t="str">
            <v>CINZENTO - 96 R/G (Micronipol)</v>
          </cell>
          <cell r="Y73" t="str">
            <v>96</v>
          </cell>
          <cell r="Z73" t="str">
            <v>CINZENTO</v>
          </cell>
          <cell r="AH73" t="str">
            <v>Ø600</v>
          </cell>
          <cell r="AI73" t="str">
            <v>69</v>
          </cell>
        </row>
        <row r="74">
          <cell r="J74" t="str">
            <v>5,5L</v>
          </cell>
          <cell r="K74" t="str">
            <v>70</v>
          </cell>
          <cell r="N74" t="str">
            <v>5202</v>
          </cell>
          <cell r="O74" t="str">
            <v>069</v>
          </cell>
          <cell r="P74" t="str">
            <v>GASOLINA</v>
          </cell>
          <cell r="X74" t="str">
            <v>CORES VÁRIAS - 97</v>
          </cell>
          <cell r="Y74" t="str">
            <v>97</v>
          </cell>
          <cell r="Z74" t="str">
            <v>CORES VÁRIAS</v>
          </cell>
          <cell r="AH74" t="str">
            <v>Ø63</v>
          </cell>
          <cell r="AI74" t="str">
            <v>70</v>
          </cell>
        </row>
        <row r="75">
          <cell r="J75" t="str">
            <v>17L</v>
          </cell>
          <cell r="K75" t="str">
            <v>71</v>
          </cell>
          <cell r="N75" t="str">
            <v>5208</v>
          </cell>
          <cell r="O75" t="str">
            <v>070</v>
          </cell>
          <cell r="X75" t="str">
            <v>PRETO -98 (RECICLADO)</v>
          </cell>
          <cell r="Y75" t="str">
            <v>98</v>
          </cell>
          <cell r="Z75" t="str">
            <v>PRETO</v>
          </cell>
          <cell r="AH75" t="str">
            <v>Ø38</v>
          </cell>
          <cell r="AI75" t="str">
            <v>71</v>
          </cell>
        </row>
        <row r="76">
          <cell r="J76" t="str">
            <v>3,8L</v>
          </cell>
          <cell r="K76" t="str">
            <v>72</v>
          </cell>
          <cell r="N76" t="str">
            <v>5211</v>
          </cell>
          <cell r="O76" t="str">
            <v>071</v>
          </cell>
          <cell r="X76" t="str">
            <v>AZUL - 99 (RECICLADO)</v>
          </cell>
          <cell r="Y76" t="str">
            <v>99</v>
          </cell>
          <cell r="Z76" t="str">
            <v>AZUL</v>
          </cell>
          <cell r="AH76" t="str">
            <v>Ø100</v>
          </cell>
          <cell r="AI76" t="str">
            <v>72</v>
          </cell>
        </row>
        <row r="77">
          <cell r="J77" t="str">
            <v>3000L</v>
          </cell>
          <cell r="K77" t="str">
            <v>73</v>
          </cell>
          <cell r="N77" t="str">
            <v>5212</v>
          </cell>
          <cell r="O77" t="str">
            <v>072</v>
          </cell>
          <cell r="X77" t="str">
            <v>CC - CORANTE CLIENTE</v>
          </cell>
          <cell r="Y77" t="str">
            <v>CC</v>
          </cell>
          <cell r="Z77" t="str">
            <v>CORANTE CLIENTE</v>
          </cell>
          <cell r="AH77" t="str">
            <v>Ø3/4</v>
          </cell>
          <cell r="AI77" t="str">
            <v>77</v>
          </cell>
        </row>
        <row r="78">
          <cell r="J78" t="str">
            <v>200L</v>
          </cell>
          <cell r="K78" t="str">
            <v>74</v>
          </cell>
          <cell r="N78" t="str">
            <v>5213</v>
          </cell>
          <cell r="O78" t="str">
            <v>073</v>
          </cell>
          <cell r="AH78" t="str">
            <v>Ø300</v>
          </cell>
          <cell r="AI78" t="str">
            <v>78</v>
          </cell>
        </row>
        <row r="79">
          <cell r="J79" t="str">
            <v>20,2L</v>
          </cell>
          <cell r="K79" t="str">
            <v>75</v>
          </cell>
          <cell r="N79" t="str">
            <v>5217</v>
          </cell>
          <cell r="O79" t="str">
            <v>074</v>
          </cell>
          <cell r="AH79" t="str">
            <v>Ø205</v>
          </cell>
          <cell r="AI79" t="str">
            <v>79</v>
          </cell>
        </row>
        <row r="80">
          <cell r="J80" t="str">
            <v>5,7L</v>
          </cell>
          <cell r="K80" t="str">
            <v>76</v>
          </cell>
          <cell r="N80" t="str">
            <v>5227</v>
          </cell>
          <cell r="O80" t="str">
            <v>075</v>
          </cell>
          <cell r="P80" t="str">
            <v>LENA 70</v>
          </cell>
          <cell r="AH80" t="str">
            <v>Ø29/21</v>
          </cell>
          <cell r="AI80" t="str">
            <v>80</v>
          </cell>
        </row>
        <row r="81">
          <cell r="J81" t="str">
            <v>3,9L</v>
          </cell>
          <cell r="K81" t="str">
            <v>77</v>
          </cell>
          <cell r="N81" t="str">
            <v>5301</v>
          </cell>
          <cell r="O81" t="str">
            <v>076</v>
          </cell>
          <cell r="P81" t="str">
            <v>CALDA (S/ REBAIXO)</v>
          </cell>
          <cell r="AH81" t="str">
            <v>Ø37</v>
          </cell>
          <cell r="AI81" t="str">
            <v>81</v>
          </cell>
        </row>
        <row r="82">
          <cell r="J82" t="str">
            <v>11,3L</v>
          </cell>
          <cell r="K82" t="str">
            <v>78</v>
          </cell>
          <cell r="N82" t="str">
            <v>5302</v>
          </cell>
          <cell r="O82" t="str">
            <v>077</v>
          </cell>
          <cell r="P82" t="str">
            <v>TRATOL H.VIEIRA</v>
          </cell>
        </row>
        <row r="83">
          <cell r="J83" t="str">
            <v>28L</v>
          </cell>
          <cell r="K83" t="str">
            <v>79</v>
          </cell>
          <cell r="N83" t="str">
            <v>5601</v>
          </cell>
          <cell r="O83" t="str">
            <v>078</v>
          </cell>
        </row>
        <row r="84">
          <cell r="J84" t="str">
            <v>1,4L</v>
          </cell>
          <cell r="K84" t="str">
            <v>80</v>
          </cell>
          <cell r="N84" t="str">
            <v>5602</v>
          </cell>
          <cell r="O84" t="str">
            <v>079</v>
          </cell>
        </row>
        <row r="85">
          <cell r="J85" t="str">
            <v>0,118L</v>
          </cell>
          <cell r="K85" t="str">
            <v>81</v>
          </cell>
          <cell r="N85" t="str">
            <v>5603</v>
          </cell>
          <cell r="O85" t="str">
            <v>080</v>
          </cell>
          <cell r="P85" t="str">
            <v>DEPOSITO GASOLINA ALBINO VIEIRA</v>
          </cell>
        </row>
        <row r="86">
          <cell r="J86" t="str">
            <v>2,3L</v>
          </cell>
          <cell r="K86" t="str">
            <v>82</v>
          </cell>
          <cell r="N86" t="str">
            <v>5705</v>
          </cell>
          <cell r="O86" t="str">
            <v>081</v>
          </cell>
        </row>
        <row r="87">
          <cell r="J87" t="str">
            <v>10000L</v>
          </cell>
          <cell r="K87" t="str">
            <v>83</v>
          </cell>
          <cell r="N87" t="str">
            <v>5906</v>
          </cell>
          <cell r="O87" t="str">
            <v>082</v>
          </cell>
          <cell r="P87" t="str">
            <v>FATOMIPE</v>
          </cell>
        </row>
        <row r="88">
          <cell r="J88" t="str">
            <v>5000L</v>
          </cell>
          <cell r="K88" t="str">
            <v>84</v>
          </cell>
          <cell r="N88" t="str">
            <v>5910</v>
          </cell>
          <cell r="O88" t="str">
            <v>083</v>
          </cell>
        </row>
        <row r="89">
          <cell r="J89" t="str">
            <v>350L</v>
          </cell>
          <cell r="K89" t="str">
            <v>85</v>
          </cell>
          <cell r="N89" t="str">
            <v>5911</v>
          </cell>
          <cell r="O89" t="str">
            <v>084</v>
          </cell>
          <cell r="P89" t="str">
            <v>FATOMIPE</v>
          </cell>
        </row>
        <row r="90">
          <cell r="J90" t="str">
            <v>750L</v>
          </cell>
          <cell r="K90" t="str">
            <v>86</v>
          </cell>
          <cell r="N90" t="str">
            <v>6702</v>
          </cell>
          <cell r="O90" t="str">
            <v>085</v>
          </cell>
        </row>
        <row r="91">
          <cell r="J91" t="str">
            <v>3,7L</v>
          </cell>
          <cell r="K91" t="str">
            <v>87</v>
          </cell>
          <cell r="N91" t="str">
            <v>9014</v>
          </cell>
          <cell r="O91" t="str">
            <v>086</v>
          </cell>
        </row>
        <row r="92">
          <cell r="J92" t="str">
            <v>3L</v>
          </cell>
          <cell r="K92" t="str">
            <v>88</v>
          </cell>
          <cell r="N92" t="str">
            <v>9020</v>
          </cell>
          <cell r="O92" t="str">
            <v>087</v>
          </cell>
        </row>
        <row r="93">
          <cell r="J93" t="str">
            <v>42L</v>
          </cell>
          <cell r="K93" t="str">
            <v>89</v>
          </cell>
          <cell r="N93" t="str">
            <v>9022</v>
          </cell>
          <cell r="O93" t="str">
            <v>088</v>
          </cell>
        </row>
        <row r="94">
          <cell r="N94" t="str">
            <v>9056</v>
          </cell>
          <cell r="O94" t="str">
            <v>089</v>
          </cell>
        </row>
        <row r="95">
          <cell r="N95" t="str">
            <v>9089</v>
          </cell>
          <cell r="O95" t="str">
            <v>090</v>
          </cell>
        </row>
        <row r="96">
          <cell r="N96" t="str">
            <v>9113</v>
          </cell>
          <cell r="O96" t="str">
            <v>091</v>
          </cell>
        </row>
        <row r="97">
          <cell r="N97" t="str">
            <v>9122</v>
          </cell>
          <cell r="O97" t="str">
            <v>092</v>
          </cell>
        </row>
        <row r="98">
          <cell r="N98" t="str">
            <v>0483</v>
          </cell>
          <cell r="O98" t="str">
            <v>093</v>
          </cell>
        </row>
        <row r="99">
          <cell r="N99" t="str">
            <v>1000</v>
          </cell>
          <cell r="O99" t="str">
            <v>094</v>
          </cell>
        </row>
        <row r="100">
          <cell r="N100" t="str">
            <v>1001</v>
          </cell>
          <cell r="O100" t="str">
            <v>095</v>
          </cell>
        </row>
        <row r="101">
          <cell r="N101" t="str">
            <v>1002</v>
          </cell>
          <cell r="O101" t="str">
            <v>096</v>
          </cell>
        </row>
        <row r="102">
          <cell r="N102" t="str">
            <v>1003</v>
          </cell>
          <cell r="O102" t="str">
            <v>097</v>
          </cell>
        </row>
        <row r="103">
          <cell r="N103" t="str">
            <v>1005</v>
          </cell>
          <cell r="O103" t="str">
            <v>098</v>
          </cell>
        </row>
        <row r="104">
          <cell r="N104" t="str">
            <v>1006</v>
          </cell>
          <cell r="O104" t="str">
            <v>099</v>
          </cell>
        </row>
        <row r="105">
          <cell r="N105" t="str">
            <v>1009</v>
          </cell>
          <cell r="O105" t="str">
            <v>100</v>
          </cell>
        </row>
        <row r="106">
          <cell r="N106" t="str">
            <v>1011</v>
          </cell>
          <cell r="O106" t="str">
            <v>101</v>
          </cell>
        </row>
        <row r="107">
          <cell r="N107" t="str">
            <v>1014</v>
          </cell>
          <cell r="O107" t="str">
            <v>102</v>
          </cell>
        </row>
        <row r="108">
          <cell r="N108" t="str">
            <v>1015</v>
          </cell>
          <cell r="O108" t="str">
            <v>103</v>
          </cell>
        </row>
        <row r="109">
          <cell r="N109" t="str">
            <v>1016</v>
          </cell>
          <cell r="O109" t="str">
            <v>104</v>
          </cell>
        </row>
        <row r="110">
          <cell r="N110" t="str">
            <v>1017</v>
          </cell>
          <cell r="O110" t="str">
            <v>105</v>
          </cell>
        </row>
        <row r="111">
          <cell r="N111" t="str">
            <v>1018</v>
          </cell>
          <cell r="O111" t="str">
            <v>106</v>
          </cell>
        </row>
        <row r="112">
          <cell r="N112" t="str">
            <v>1019</v>
          </cell>
          <cell r="O112" t="str">
            <v>107</v>
          </cell>
        </row>
        <row r="113">
          <cell r="N113" t="str">
            <v>1020</v>
          </cell>
          <cell r="O113" t="str">
            <v>108</v>
          </cell>
        </row>
        <row r="114">
          <cell r="N114" t="str">
            <v>1021</v>
          </cell>
          <cell r="O114" t="str">
            <v>109</v>
          </cell>
        </row>
        <row r="115">
          <cell r="N115" t="str">
            <v>1030</v>
          </cell>
          <cell r="O115" t="str">
            <v>110</v>
          </cell>
        </row>
        <row r="116">
          <cell r="N116" t="str">
            <v>5042</v>
          </cell>
          <cell r="O116" t="str">
            <v>111</v>
          </cell>
        </row>
        <row r="117">
          <cell r="N117" t="str">
            <v>5084</v>
          </cell>
          <cell r="O117" t="str">
            <v>112</v>
          </cell>
        </row>
        <row r="118">
          <cell r="N118" t="str">
            <v>5085</v>
          </cell>
          <cell r="O118" t="str">
            <v>113</v>
          </cell>
        </row>
        <row r="119">
          <cell r="N119" t="str">
            <v>5087</v>
          </cell>
          <cell r="O119" t="str">
            <v>114</v>
          </cell>
        </row>
        <row r="120">
          <cell r="N120" t="str">
            <v>5088</v>
          </cell>
          <cell r="O120" t="str">
            <v>115</v>
          </cell>
        </row>
        <row r="121">
          <cell r="N121" t="str">
            <v>6100</v>
          </cell>
          <cell r="O121" t="str">
            <v>116</v>
          </cell>
        </row>
        <row r="122">
          <cell r="N122" t="str">
            <v>9004</v>
          </cell>
          <cell r="O122" t="str">
            <v>117</v>
          </cell>
        </row>
        <row r="123">
          <cell r="N123" t="str">
            <v>9005</v>
          </cell>
          <cell r="O123" t="str">
            <v>118</v>
          </cell>
        </row>
        <row r="124">
          <cell r="N124" t="str">
            <v>9006</v>
          </cell>
          <cell r="O124" t="str">
            <v>119</v>
          </cell>
        </row>
        <row r="125">
          <cell r="N125" t="str">
            <v>9018</v>
          </cell>
          <cell r="O125" t="str">
            <v>120</v>
          </cell>
        </row>
        <row r="126">
          <cell r="N126" t="str">
            <v>9019</v>
          </cell>
          <cell r="O126" t="str">
            <v>121</v>
          </cell>
        </row>
        <row r="127">
          <cell r="N127" t="str">
            <v>9023</v>
          </cell>
          <cell r="O127" t="str">
            <v>122</v>
          </cell>
        </row>
        <row r="128">
          <cell r="N128" t="str">
            <v>9024</v>
          </cell>
          <cell r="O128" t="str">
            <v>123</v>
          </cell>
        </row>
        <row r="129">
          <cell r="N129" t="str">
            <v>9090</v>
          </cell>
          <cell r="O129" t="str">
            <v>124</v>
          </cell>
        </row>
        <row r="130">
          <cell r="N130" t="str">
            <v>9097</v>
          </cell>
          <cell r="O130" t="str">
            <v>125</v>
          </cell>
        </row>
        <row r="131">
          <cell r="N131" t="str">
            <v>9102</v>
          </cell>
          <cell r="O131" t="str">
            <v>126</v>
          </cell>
        </row>
        <row r="132">
          <cell r="N132" t="str">
            <v>9112</v>
          </cell>
          <cell r="O132" t="str">
            <v>127</v>
          </cell>
        </row>
        <row r="133">
          <cell r="N133" t="str">
            <v>9114</v>
          </cell>
          <cell r="O133" t="str">
            <v>128</v>
          </cell>
        </row>
        <row r="134">
          <cell r="N134" t="str">
            <v>9115</v>
          </cell>
          <cell r="O134" t="str">
            <v>129</v>
          </cell>
        </row>
        <row r="135">
          <cell r="N135" t="str">
            <v>9116</v>
          </cell>
          <cell r="O135" t="str">
            <v>130</v>
          </cell>
        </row>
        <row r="136">
          <cell r="N136" t="str">
            <v>9124</v>
          </cell>
          <cell r="O136" t="str">
            <v>131</v>
          </cell>
        </row>
        <row r="137">
          <cell r="N137" t="str">
            <v>9126</v>
          </cell>
          <cell r="O137" t="str">
            <v>132</v>
          </cell>
        </row>
        <row r="138">
          <cell r="N138" t="str">
            <v>9201</v>
          </cell>
          <cell r="O138" t="str">
            <v>133</v>
          </cell>
        </row>
        <row r="139">
          <cell r="N139" t="str">
            <v>0466</v>
          </cell>
          <cell r="O139" t="str">
            <v>134</v>
          </cell>
        </row>
        <row r="140">
          <cell r="N140" t="str">
            <v>0465</v>
          </cell>
          <cell r="O140" t="str">
            <v>135</v>
          </cell>
        </row>
        <row r="141">
          <cell r="N141" t="str">
            <v>0470</v>
          </cell>
          <cell r="O141" t="str">
            <v>136</v>
          </cell>
        </row>
        <row r="142">
          <cell r="N142" t="str">
            <v>0471</v>
          </cell>
          <cell r="O142" t="str">
            <v>137</v>
          </cell>
        </row>
        <row r="143">
          <cell r="N143" t="str">
            <v>1500</v>
          </cell>
          <cell r="O143" t="str">
            <v>138</v>
          </cell>
        </row>
        <row r="144">
          <cell r="N144" t="str">
            <v>1501</v>
          </cell>
          <cell r="O144" t="str">
            <v>139</v>
          </cell>
        </row>
        <row r="145">
          <cell r="N145" t="str">
            <v>1502</v>
          </cell>
          <cell r="O145" t="str">
            <v>140</v>
          </cell>
        </row>
        <row r="146">
          <cell r="N146" t="str">
            <v>1503</v>
          </cell>
          <cell r="O146" t="str">
            <v>141</v>
          </cell>
        </row>
        <row r="147">
          <cell r="N147" t="str">
            <v>1504</v>
          </cell>
          <cell r="O147" t="str">
            <v>142</v>
          </cell>
        </row>
        <row r="148">
          <cell r="N148" t="str">
            <v>1506</v>
          </cell>
          <cell r="O148" t="str">
            <v>143</v>
          </cell>
        </row>
        <row r="149">
          <cell r="N149" t="str">
            <v>0469</v>
          </cell>
          <cell r="O149" t="str">
            <v>144</v>
          </cell>
        </row>
        <row r="150">
          <cell r="N150" t="str">
            <v>0473</v>
          </cell>
          <cell r="O150" t="str">
            <v>145</v>
          </cell>
        </row>
        <row r="151">
          <cell r="N151" t="str">
            <v>0474</v>
          </cell>
          <cell r="O151" t="str">
            <v>146</v>
          </cell>
        </row>
        <row r="152">
          <cell r="N152" t="str">
            <v>0477</v>
          </cell>
          <cell r="O152" t="str">
            <v>147</v>
          </cell>
        </row>
        <row r="153">
          <cell r="N153" t="str">
            <v>0478</v>
          </cell>
          <cell r="O153" t="str">
            <v>148</v>
          </cell>
        </row>
        <row r="154">
          <cell r="N154" t="str">
            <v>9080</v>
          </cell>
          <cell r="O154" t="str">
            <v>149</v>
          </cell>
        </row>
        <row r="155">
          <cell r="N155" t="str">
            <v>0624</v>
          </cell>
          <cell r="O155" t="str">
            <v>150</v>
          </cell>
          <cell r="P155" t="str">
            <v>60CM</v>
          </cell>
        </row>
        <row r="156">
          <cell r="N156" t="str">
            <v>0625</v>
          </cell>
          <cell r="O156" t="str">
            <v>151</v>
          </cell>
          <cell r="P156" t="str">
            <v>80CM</v>
          </cell>
        </row>
        <row r="157">
          <cell r="N157" t="str">
            <v>5064</v>
          </cell>
          <cell r="O157" t="str">
            <v>152</v>
          </cell>
          <cell r="P157" t="str">
            <v>120 CM</v>
          </cell>
        </row>
        <row r="158">
          <cell r="N158" t="str">
            <v>5066</v>
          </cell>
          <cell r="O158" t="str">
            <v>153</v>
          </cell>
        </row>
        <row r="159">
          <cell r="N159" t="str">
            <v>5067</v>
          </cell>
          <cell r="O159" t="str">
            <v>154</v>
          </cell>
          <cell r="P159" t="str">
            <v>60 CM</v>
          </cell>
        </row>
        <row r="160">
          <cell r="N160" t="str">
            <v>5070</v>
          </cell>
          <cell r="O160" t="str">
            <v>155</v>
          </cell>
        </row>
        <row r="161">
          <cell r="N161" t="str">
            <v>5076</v>
          </cell>
          <cell r="O161" t="str">
            <v>156</v>
          </cell>
          <cell r="P161" t="str">
            <v>90 CM</v>
          </cell>
        </row>
        <row r="162">
          <cell r="N162" t="str">
            <v>5071</v>
          </cell>
          <cell r="O162" t="str">
            <v>157</v>
          </cell>
        </row>
        <row r="163">
          <cell r="N163" t="str">
            <v>5072</v>
          </cell>
          <cell r="O163" t="str">
            <v>158</v>
          </cell>
        </row>
        <row r="164">
          <cell r="N164" t="str">
            <v>5073</v>
          </cell>
          <cell r="O164" t="str">
            <v>159</v>
          </cell>
        </row>
        <row r="165">
          <cell r="N165" t="str">
            <v>1271</v>
          </cell>
          <cell r="O165" t="str">
            <v>160</v>
          </cell>
        </row>
        <row r="166">
          <cell r="N166" t="str">
            <v>1400</v>
          </cell>
          <cell r="O166" t="str">
            <v>161</v>
          </cell>
        </row>
        <row r="167">
          <cell r="N167" t="str">
            <v>1304</v>
          </cell>
          <cell r="O167" t="str">
            <v>162</v>
          </cell>
        </row>
        <row r="168">
          <cell r="N168" t="str">
            <v>1229</v>
          </cell>
          <cell r="O168" t="str">
            <v>163</v>
          </cell>
        </row>
        <row r="169">
          <cell r="N169" t="str">
            <v>1272</v>
          </cell>
          <cell r="O169" t="str">
            <v>164</v>
          </cell>
        </row>
        <row r="170">
          <cell r="N170" t="str">
            <v>5002</v>
          </cell>
          <cell r="O170" t="str">
            <v>165</v>
          </cell>
          <cell r="P170" t="str">
            <v>COPO GRANIZADO</v>
          </cell>
        </row>
        <row r="171">
          <cell r="N171" t="str">
            <v>1273</v>
          </cell>
          <cell r="O171" t="str">
            <v>166</v>
          </cell>
        </row>
        <row r="172">
          <cell r="N172" t="str">
            <v>1211</v>
          </cell>
          <cell r="O172" t="str">
            <v>167</v>
          </cell>
        </row>
        <row r="173">
          <cell r="N173" t="str">
            <v>1210</v>
          </cell>
          <cell r="O173" t="str">
            <v>168</v>
          </cell>
        </row>
        <row r="174">
          <cell r="N174" t="str">
            <v>1033</v>
          </cell>
          <cell r="O174" t="str">
            <v>169</v>
          </cell>
        </row>
        <row r="175">
          <cell r="N175" t="str">
            <v>1274</v>
          </cell>
          <cell r="O175" t="str">
            <v>170</v>
          </cell>
        </row>
        <row r="176">
          <cell r="N176" t="str">
            <v>1195</v>
          </cell>
          <cell r="O176" t="str">
            <v>171</v>
          </cell>
        </row>
        <row r="177">
          <cell r="N177" t="str">
            <v>1196</v>
          </cell>
          <cell r="O177" t="str">
            <v>172</v>
          </cell>
        </row>
        <row r="178">
          <cell r="N178" t="str">
            <v>0446</v>
          </cell>
          <cell r="O178" t="str">
            <v>173</v>
          </cell>
        </row>
        <row r="179">
          <cell r="N179" t="str">
            <v>0432</v>
          </cell>
          <cell r="O179" t="str">
            <v>174</v>
          </cell>
        </row>
        <row r="180">
          <cell r="N180" t="str">
            <v>0533</v>
          </cell>
          <cell r="O180" t="str">
            <v>175</v>
          </cell>
        </row>
        <row r="181">
          <cell r="N181" t="str">
            <v>0534</v>
          </cell>
          <cell r="O181" t="str">
            <v>176</v>
          </cell>
        </row>
        <row r="182">
          <cell r="N182" t="str">
            <v>0535</v>
          </cell>
          <cell r="O182" t="str">
            <v>177</v>
          </cell>
        </row>
        <row r="183">
          <cell r="N183" t="str">
            <v>9156</v>
          </cell>
          <cell r="O183" t="str">
            <v>178</v>
          </cell>
        </row>
        <row r="184">
          <cell r="N184" t="str">
            <v>9202</v>
          </cell>
          <cell r="O184" t="str">
            <v>179</v>
          </cell>
        </row>
        <row r="185">
          <cell r="N185" t="str">
            <v>1034</v>
          </cell>
          <cell r="O185" t="str">
            <v>180</v>
          </cell>
        </row>
        <row r="186">
          <cell r="N186" t="str">
            <v>1035</v>
          </cell>
          <cell r="O186" t="str">
            <v>181</v>
          </cell>
        </row>
        <row r="187">
          <cell r="N187" t="str">
            <v>1275</v>
          </cell>
          <cell r="O187" t="str">
            <v>182</v>
          </cell>
        </row>
        <row r="188">
          <cell r="N188" t="str">
            <v>1022</v>
          </cell>
          <cell r="O188" t="str">
            <v>183</v>
          </cell>
        </row>
        <row r="189">
          <cell r="N189" t="str">
            <v>0566</v>
          </cell>
          <cell r="O189" t="str">
            <v>184</v>
          </cell>
        </row>
        <row r="190">
          <cell r="N190" t="str">
            <v>1023</v>
          </cell>
          <cell r="O190" t="str">
            <v>185</v>
          </cell>
        </row>
        <row r="191">
          <cell r="N191" t="str">
            <v>1276</v>
          </cell>
          <cell r="O191" t="str">
            <v>186</v>
          </cell>
        </row>
        <row r="192">
          <cell r="N192" t="str">
            <v>1036</v>
          </cell>
          <cell r="O192" t="str">
            <v>187</v>
          </cell>
        </row>
        <row r="193">
          <cell r="N193" t="str">
            <v>9087</v>
          </cell>
          <cell r="O193" t="str">
            <v>188</v>
          </cell>
        </row>
        <row r="194">
          <cell r="N194" t="str">
            <v>9012</v>
          </cell>
          <cell r="O194" t="str">
            <v>189</v>
          </cell>
        </row>
        <row r="195">
          <cell r="N195" t="str">
            <v>9025</v>
          </cell>
          <cell r="O195" t="str">
            <v>190</v>
          </cell>
        </row>
        <row r="196">
          <cell r="N196" t="str">
            <v>9109</v>
          </cell>
          <cell r="O196" t="str">
            <v>191</v>
          </cell>
        </row>
        <row r="197">
          <cell r="N197" t="str">
            <v>9103</v>
          </cell>
          <cell r="O197" t="str">
            <v>192</v>
          </cell>
        </row>
        <row r="198">
          <cell r="N198" t="str">
            <v>9161</v>
          </cell>
          <cell r="O198" t="str">
            <v>193</v>
          </cell>
        </row>
        <row r="199">
          <cell r="N199" t="str">
            <v>0485</v>
          </cell>
          <cell r="O199" t="str">
            <v>194</v>
          </cell>
        </row>
        <row r="200">
          <cell r="N200" t="str">
            <v>0498</v>
          </cell>
          <cell r="O200" t="str">
            <v>195</v>
          </cell>
        </row>
        <row r="201">
          <cell r="N201" t="str">
            <v>0500</v>
          </cell>
          <cell r="O201" t="str">
            <v>196</v>
          </cell>
        </row>
        <row r="202">
          <cell r="N202" t="str">
            <v>0501</v>
          </cell>
          <cell r="O202" t="str">
            <v>197</v>
          </cell>
        </row>
        <row r="203">
          <cell r="N203" t="str">
            <v>9163</v>
          </cell>
          <cell r="O203" t="str">
            <v>198</v>
          </cell>
        </row>
        <row r="204">
          <cell r="N204" t="str">
            <v>9076</v>
          </cell>
          <cell r="O204" t="str">
            <v>199</v>
          </cell>
        </row>
        <row r="205">
          <cell r="N205" t="str">
            <v>9058</v>
          </cell>
          <cell r="O205" t="str">
            <v>200</v>
          </cell>
        </row>
        <row r="206">
          <cell r="N206" t="str">
            <v>9059</v>
          </cell>
          <cell r="O206" t="str">
            <v>201</v>
          </cell>
        </row>
        <row r="207">
          <cell r="N207" t="str">
            <v>9094</v>
          </cell>
          <cell r="O207" t="str">
            <v>202</v>
          </cell>
        </row>
        <row r="208">
          <cell r="N208" t="str">
            <v>9057</v>
          </cell>
          <cell r="O208" t="str">
            <v>203</v>
          </cell>
        </row>
        <row r="209">
          <cell r="N209" t="str">
            <v>9084</v>
          </cell>
          <cell r="O209" t="str">
            <v>204</v>
          </cell>
        </row>
        <row r="210">
          <cell r="N210" t="str">
            <v>9104</v>
          </cell>
          <cell r="O210" t="str">
            <v>205</v>
          </cell>
        </row>
        <row r="211">
          <cell r="N211" t="str">
            <v>9095</v>
          </cell>
          <cell r="O211" t="str">
            <v>206</v>
          </cell>
        </row>
        <row r="212">
          <cell r="N212" t="str">
            <v>9153</v>
          </cell>
          <cell r="O212" t="str">
            <v>207</v>
          </cell>
        </row>
        <row r="213">
          <cell r="N213" t="str">
            <v>1031</v>
          </cell>
          <cell r="O213" t="str">
            <v>208</v>
          </cell>
        </row>
        <row r="214">
          <cell r="N214" t="str">
            <v>9164</v>
          </cell>
          <cell r="O214" t="str">
            <v>209</v>
          </cell>
        </row>
        <row r="215">
          <cell r="N215" t="str">
            <v>9165</v>
          </cell>
          <cell r="O215" t="str">
            <v>210</v>
          </cell>
        </row>
        <row r="216">
          <cell r="N216" t="str">
            <v>9203</v>
          </cell>
          <cell r="O216" t="str">
            <v>211</v>
          </cell>
        </row>
        <row r="217">
          <cell r="N217" t="str">
            <v>9166</v>
          </cell>
          <cell r="O217" t="str">
            <v>212</v>
          </cell>
        </row>
        <row r="218">
          <cell r="N218" t="str">
            <v>0111</v>
          </cell>
          <cell r="O218" t="str">
            <v>213</v>
          </cell>
          <cell r="P218" t="str">
            <v>TROUXAS OVOS P/18</v>
          </cell>
        </row>
        <row r="219">
          <cell r="N219" t="str">
            <v>0112</v>
          </cell>
          <cell r="O219" t="str">
            <v>214</v>
          </cell>
          <cell r="P219" t="str">
            <v>TROUXAS OVOS P/12</v>
          </cell>
        </row>
        <row r="220">
          <cell r="N220" t="str">
            <v>0113</v>
          </cell>
          <cell r="O220" t="str">
            <v>215</v>
          </cell>
          <cell r="P220" t="str">
            <v>TROUXAS OVOS P/6</v>
          </cell>
        </row>
        <row r="221">
          <cell r="N221" t="str">
            <v>0461</v>
          </cell>
          <cell r="O221" t="str">
            <v>216</v>
          </cell>
        </row>
        <row r="222">
          <cell r="N222" t="str">
            <v>0462</v>
          </cell>
          <cell r="O222" t="str">
            <v>217</v>
          </cell>
        </row>
        <row r="223">
          <cell r="N223" t="str">
            <v>5001</v>
          </cell>
          <cell r="O223" t="str">
            <v>218</v>
          </cell>
          <cell r="P223" t="str">
            <v>BOYA CALDERIN</v>
          </cell>
        </row>
        <row r="224">
          <cell r="N224" t="str">
            <v>5003</v>
          </cell>
          <cell r="O224" t="str">
            <v>219</v>
          </cell>
          <cell r="P224" t="str">
            <v>PALHINHA P/ COPO GRANIZADO</v>
          </cell>
        </row>
        <row r="225">
          <cell r="N225" t="str">
            <v>5004</v>
          </cell>
          <cell r="O225" t="str">
            <v>220</v>
          </cell>
          <cell r="P225" t="str">
            <v>TAMPA P/ PALHINHA E P/ COPO GRANIZADO</v>
          </cell>
        </row>
        <row r="226">
          <cell r="N226" t="str">
            <v>5005</v>
          </cell>
          <cell r="O226" t="str">
            <v>221</v>
          </cell>
          <cell r="P226" t="str">
            <v>AUTOCLISMO BETTER</v>
          </cell>
        </row>
        <row r="227">
          <cell r="N227" t="str">
            <v>5006</v>
          </cell>
          <cell r="O227" t="str">
            <v>222</v>
          </cell>
          <cell r="P227" t="str">
            <v>AUTOCLISMO CT</v>
          </cell>
        </row>
        <row r="228">
          <cell r="N228" t="str">
            <v>5007</v>
          </cell>
          <cell r="O228" t="str">
            <v>223</v>
          </cell>
          <cell r="P228" t="str">
            <v>AUTOCLISMO VALADARES</v>
          </cell>
        </row>
        <row r="229">
          <cell r="N229" t="str">
            <v>5023</v>
          </cell>
          <cell r="O229" t="str">
            <v>224</v>
          </cell>
          <cell r="P229" t="str">
            <v>BOIADOR TOMIX</v>
          </cell>
        </row>
        <row r="230">
          <cell r="N230" t="str">
            <v>9159</v>
          </cell>
          <cell r="O230" t="str">
            <v>225</v>
          </cell>
          <cell r="P230" t="str">
            <v>BOQUILHA BiB VITOP</v>
          </cell>
        </row>
        <row r="231">
          <cell r="N231" t="str">
            <v>9160</v>
          </cell>
          <cell r="O231" t="str">
            <v>226</v>
          </cell>
          <cell r="P231" t="str">
            <v>TORNEIRA BiB VITOP</v>
          </cell>
        </row>
        <row r="232">
          <cell r="N232" t="str">
            <v>1277</v>
          </cell>
          <cell r="O232" t="str">
            <v>227</v>
          </cell>
        </row>
        <row r="233">
          <cell r="N233" t="str">
            <v>0507</v>
          </cell>
          <cell r="O233" t="str">
            <v>228</v>
          </cell>
        </row>
        <row r="234">
          <cell r="N234" t="str">
            <v>9148</v>
          </cell>
          <cell r="O234" t="str">
            <v>229</v>
          </cell>
        </row>
        <row r="235">
          <cell r="N235" t="str">
            <v>9167</v>
          </cell>
          <cell r="O235" t="str">
            <v>230</v>
          </cell>
          <cell r="P235" t="str">
            <v>BOQUILHA BiB SAFIPLAS</v>
          </cell>
        </row>
        <row r="236">
          <cell r="N236" t="str">
            <v>9168</v>
          </cell>
          <cell r="O236" t="str">
            <v>231</v>
          </cell>
          <cell r="P236" t="str">
            <v>TORNEIRA BiB SAFIPLAS</v>
          </cell>
        </row>
        <row r="237">
          <cell r="N237" t="str">
            <v>9169</v>
          </cell>
          <cell r="O237" t="str">
            <v>232</v>
          </cell>
        </row>
        <row r="238">
          <cell r="N238" t="str">
            <v>9170</v>
          </cell>
          <cell r="O238" t="str">
            <v>233</v>
          </cell>
        </row>
        <row r="239">
          <cell r="N239" t="str">
            <v>5089</v>
          </cell>
          <cell r="O239" t="str">
            <v>234</v>
          </cell>
          <cell r="P239" t="str">
            <v>FILTRO PERCOLADOR PEFI</v>
          </cell>
        </row>
        <row r="240">
          <cell r="N240" t="str">
            <v>1037</v>
          </cell>
          <cell r="O240" t="str">
            <v>235</v>
          </cell>
        </row>
        <row r="241">
          <cell r="N241" t="str">
            <v>1038</v>
          </cell>
          <cell r="O241" t="str">
            <v>236</v>
          </cell>
        </row>
        <row r="242">
          <cell r="N242" t="str">
            <v>9204</v>
          </cell>
          <cell r="O242" t="str">
            <v>237</v>
          </cell>
        </row>
        <row r="243">
          <cell r="N243" t="str">
            <v>9171</v>
          </cell>
          <cell r="O243" t="str">
            <v>238</v>
          </cell>
        </row>
        <row r="244">
          <cell r="N244" t="str">
            <v>9205</v>
          </cell>
          <cell r="O244" t="str">
            <v>239</v>
          </cell>
        </row>
        <row r="245">
          <cell r="N245" t="str">
            <v>9100</v>
          </cell>
          <cell r="O245" t="str">
            <v>240</v>
          </cell>
        </row>
        <row r="246">
          <cell r="N246" t="str">
            <v>8001</v>
          </cell>
          <cell r="O246" t="str">
            <v>241</v>
          </cell>
          <cell r="P246" t="str">
            <v>315x395</v>
          </cell>
        </row>
        <row r="247">
          <cell r="N247" t="str">
            <v>8002</v>
          </cell>
          <cell r="O247" t="str">
            <v>242</v>
          </cell>
          <cell r="P247" t="str">
            <v>385X515</v>
          </cell>
        </row>
        <row r="248">
          <cell r="N248" t="str">
            <v>9172</v>
          </cell>
          <cell r="O248" t="str">
            <v>243</v>
          </cell>
          <cell r="P248" t="str">
            <v>P/ FRASCO PÓ</v>
          </cell>
        </row>
        <row r="249">
          <cell r="N249" t="str">
            <v>8003</v>
          </cell>
          <cell r="O249" t="str">
            <v>244</v>
          </cell>
          <cell r="P249" t="str">
            <v>260X330</v>
          </cell>
        </row>
        <row r="250">
          <cell r="N250" t="str">
            <v>8004</v>
          </cell>
          <cell r="O250" t="str">
            <v>245</v>
          </cell>
          <cell r="P250" t="str">
            <v>375X529</v>
          </cell>
        </row>
        <row r="251">
          <cell r="N251" t="str">
            <v>8005</v>
          </cell>
          <cell r="O251" t="str">
            <v>246</v>
          </cell>
          <cell r="P251" t="str">
            <v>475X555</v>
          </cell>
        </row>
        <row r="252">
          <cell r="N252" t="str">
            <v>8006</v>
          </cell>
          <cell r="O252" t="str">
            <v>247</v>
          </cell>
          <cell r="P252" t="str">
            <v>530X590</v>
          </cell>
        </row>
        <row r="253">
          <cell r="N253" t="str">
            <v>8007</v>
          </cell>
          <cell r="O253" t="str">
            <v>248</v>
          </cell>
          <cell r="P253" t="str">
            <v>260X285</v>
          </cell>
        </row>
        <row r="254">
          <cell r="N254" t="str">
            <v>0536</v>
          </cell>
          <cell r="O254" t="str">
            <v>249</v>
          </cell>
        </row>
        <row r="255">
          <cell r="N255" t="str">
            <v>9106</v>
          </cell>
          <cell r="O255" t="str">
            <v>250</v>
          </cell>
        </row>
        <row r="256">
          <cell r="N256" t="str">
            <v>1401</v>
          </cell>
          <cell r="O256" t="str">
            <v>251</v>
          </cell>
        </row>
        <row r="257">
          <cell r="N257" t="str">
            <v>5010</v>
          </cell>
          <cell r="O257" t="str">
            <v>252</v>
          </cell>
          <cell r="P257" t="str">
            <v>RODA DECATHLON</v>
          </cell>
        </row>
        <row r="258">
          <cell r="N258" t="str">
            <v>5009</v>
          </cell>
          <cell r="O258" t="str">
            <v>253</v>
          </cell>
          <cell r="P258" t="str">
            <v>CURVA DESC CIFIAL</v>
          </cell>
        </row>
        <row r="259">
          <cell r="N259" t="str">
            <v>9173</v>
          </cell>
          <cell r="O259" t="str">
            <v>254</v>
          </cell>
        </row>
        <row r="260">
          <cell r="N260" t="str">
            <v>1278</v>
          </cell>
          <cell r="O260" t="str">
            <v>255</v>
          </cell>
        </row>
        <row r="261">
          <cell r="N261" t="str">
            <v>1305</v>
          </cell>
          <cell r="O261" t="str">
            <v>256</v>
          </cell>
        </row>
        <row r="262">
          <cell r="N262" t="str">
            <v>1306</v>
          </cell>
          <cell r="O262" t="str">
            <v>257</v>
          </cell>
        </row>
        <row r="263">
          <cell r="N263" t="str">
            <v>1307</v>
          </cell>
          <cell r="O263" t="str">
            <v>258</v>
          </cell>
        </row>
        <row r="264">
          <cell r="N264" t="str">
            <v>0525</v>
          </cell>
          <cell r="O264" t="str">
            <v>259</v>
          </cell>
        </row>
        <row r="265">
          <cell r="N265" t="str">
            <v>0582</v>
          </cell>
          <cell r="O265" t="str">
            <v>260</v>
          </cell>
        </row>
        <row r="266">
          <cell r="N266" t="str">
            <v>8008</v>
          </cell>
          <cell r="O266" t="str">
            <v>261</v>
          </cell>
          <cell r="P266" t="str">
            <v>215x385</v>
          </cell>
        </row>
        <row r="267">
          <cell r="N267" t="str">
            <v>0529</v>
          </cell>
          <cell r="O267" t="str">
            <v>262</v>
          </cell>
        </row>
        <row r="268">
          <cell r="N268" t="str">
            <v>1341</v>
          </cell>
          <cell r="O268" t="str">
            <v>263</v>
          </cell>
        </row>
        <row r="269">
          <cell r="N269" t="str">
            <v>0542</v>
          </cell>
          <cell r="O269" t="str">
            <v>264</v>
          </cell>
        </row>
        <row r="270">
          <cell r="N270" t="str">
            <v>0544</v>
          </cell>
          <cell r="O270" t="str">
            <v>265</v>
          </cell>
        </row>
        <row r="271">
          <cell r="N271" t="str">
            <v>9174</v>
          </cell>
          <cell r="O271" t="str">
            <v>265</v>
          </cell>
        </row>
        <row r="272">
          <cell r="N272" t="str">
            <v>9132</v>
          </cell>
          <cell r="O272" t="str">
            <v>266</v>
          </cell>
        </row>
        <row r="273">
          <cell r="N273" t="str">
            <v>9216</v>
          </cell>
          <cell r="O273" t="str">
            <v>267</v>
          </cell>
        </row>
        <row r="274">
          <cell r="N274" t="str">
            <v>8009</v>
          </cell>
          <cell r="O274" t="str">
            <v>268</v>
          </cell>
          <cell r="P274" t="str">
            <v>272X315</v>
          </cell>
        </row>
        <row r="275">
          <cell r="N275" t="str">
            <v>1039</v>
          </cell>
          <cell r="O275" t="str">
            <v>269</v>
          </cell>
        </row>
        <row r="276">
          <cell r="N276" t="str">
            <v>9217</v>
          </cell>
          <cell r="O276" t="str">
            <v>270</v>
          </cell>
        </row>
        <row r="277">
          <cell r="N277" t="str">
            <v>5069</v>
          </cell>
          <cell r="O277" t="str">
            <v>271</v>
          </cell>
        </row>
        <row r="278">
          <cell r="N278" t="str">
            <v>0538</v>
          </cell>
          <cell r="O278" t="str">
            <v>272</v>
          </cell>
          <cell r="P278" t="str">
            <v>PIPETA</v>
          </cell>
        </row>
        <row r="279">
          <cell r="N279" t="str">
            <v>0539</v>
          </cell>
          <cell r="O279" t="str">
            <v>273</v>
          </cell>
          <cell r="P279" t="str">
            <v>PIPETA C/ PONTEIRA</v>
          </cell>
        </row>
        <row r="280">
          <cell r="N280" t="str">
            <v>0502</v>
          </cell>
          <cell r="O280" t="str">
            <v>274</v>
          </cell>
          <cell r="P280" t="str">
            <v>P/ SEPARADOR DE VIA</v>
          </cell>
        </row>
        <row r="281">
          <cell r="N281" t="str">
            <v>8010</v>
          </cell>
          <cell r="O281" t="str">
            <v>275</v>
          </cell>
          <cell r="P281" t="str">
            <v>475X755</v>
          </cell>
        </row>
        <row r="282">
          <cell r="N282" t="str">
            <v>0518</v>
          </cell>
          <cell r="O282" t="str">
            <v>276</v>
          </cell>
          <cell r="P282" t="str">
            <v>ASA P/BARRICAS E GARRAFÕES</v>
          </cell>
        </row>
        <row r="283">
          <cell r="N283" t="str">
            <v>0516</v>
          </cell>
          <cell r="O283" t="str">
            <v>277</v>
          </cell>
          <cell r="P283" t="str">
            <v>SUPORTE ASAS P/BARRICAS E GARRAFÕES</v>
          </cell>
        </row>
        <row r="284">
          <cell r="N284" t="str">
            <v>9176</v>
          </cell>
          <cell r="O284" t="str">
            <v>278</v>
          </cell>
          <cell r="P284" t="str">
            <v>CORDÃO</v>
          </cell>
        </row>
        <row r="285">
          <cell r="N285" t="str">
            <v>9110</v>
          </cell>
          <cell r="O285" t="str">
            <v>279</v>
          </cell>
          <cell r="P285" t="str">
            <v>CORDÃO EPDM Ø8</v>
          </cell>
        </row>
        <row r="286">
          <cell r="N286" t="str">
            <v>9111</v>
          </cell>
          <cell r="O286" t="str">
            <v>280</v>
          </cell>
          <cell r="P286" t="str">
            <v>CORDÃO EPDM Ø10</v>
          </cell>
        </row>
        <row r="287">
          <cell r="N287" t="str">
            <v>9157</v>
          </cell>
          <cell r="O287" t="str">
            <v>281</v>
          </cell>
          <cell r="P287" t="str">
            <v>CORDÃO</v>
          </cell>
        </row>
        <row r="288">
          <cell r="N288" t="str">
            <v>8011</v>
          </cell>
          <cell r="O288" t="str">
            <v>282</v>
          </cell>
          <cell r="P288" t="str">
            <v>530X675</v>
          </cell>
        </row>
        <row r="289">
          <cell r="N289" t="str">
            <v>9221</v>
          </cell>
          <cell r="O289" t="str">
            <v>283</v>
          </cell>
        </row>
        <row r="290">
          <cell r="N290" t="str">
            <v>9222</v>
          </cell>
          <cell r="O290" t="str">
            <v>284</v>
          </cell>
        </row>
        <row r="291">
          <cell r="N291" t="str">
            <v>9223</v>
          </cell>
          <cell r="O291" t="str">
            <v>285</v>
          </cell>
        </row>
        <row r="292">
          <cell r="N292" t="str">
            <v>9224</v>
          </cell>
          <cell r="O292" t="str">
            <v>286</v>
          </cell>
        </row>
        <row r="293">
          <cell r="N293" t="str">
            <v>9225</v>
          </cell>
          <cell r="O293" t="str">
            <v>287</v>
          </cell>
        </row>
        <row r="294">
          <cell r="N294" t="str">
            <v>9226</v>
          </cell>
          <cell r="O294" t="str">
            <v>288</v>
          </cell>
        </row>
        <row r="295">
          <cell r="N295" t="str">
            <v>9227</v>
          </cell>
          <cell r="O295" t="str">
            <v>289</v>
          </cell>
        </row>
        <row r="296">
          <cell r="N296" t="str">
            <v>9228</v>
          </cell>
          <cell r="O296" t="str">
            <v>290</v>
          </cell>
        </row>
        <row r="297">
          <cell r="N297" t="str">
            <v>9229</v>
          </cell>
          <cell r="O297" t="str">
            <v>291</v>
          </cell>
        </row>
        <row r="298">
          <cell r="N298" t="str">
            <v>9220</v>
          </cell>
          <cell r="O298" t="str">
            <v>292</v>
          </cell>
          <cell r="P298" t="str">
            <v>P/ BOION REDONDO</v>
          </cell>
        </row>
        <row r="299">
          <cell r="N299" t="str">
            <v>9230</v>
          </cell>
          <cell r="O299" t="str">
            <v>293</v>
          </cell>
          <cell r="P299" t="str">
            <v>P/ BOION REDONDO</v>
          </cell>
        </row>
        <row r="300">
          <cell r="N300" t="str">
            <v>0484</v>
          </cell>
          <cell r="O300" t="str">
            <v>294</v>
          </cell>
          <cell r="P300" t="str">
            <v>FIXADOR  Ø110 PARA HITO</v>
          </cell>
        </row>
        <row r="301">
          <cell r="N301" t="str">
            <v>9177</v>
          </cell>
          <cell r="O301" t="str">
            <v>295</v>
          </cell>
          <cell r="P301" t="str">
            <v>BOQUILHA ELPO</v>
          </cell>
        </row>
        <row r="302">
          <cell r="N302" t="str">
            <v>9178</v>
          </cell>
          <cell r="O302" t="str">
            <v>296</v>
          </cell>
          <cell r="P302" t="str">
            <v>BUJÃO ELPO</v>
          </cell>
        </row>
        <row r="303">
          <cell r="N303" t="str">
            <v>0494</v>
          </cell>
          <cell r="O303" t="str">
            <v>296</v>
          </cell>
        </row>
        <row r="304">
          <cell r="N304" t="str">
            <v>0499</v>
          </cell>
          <cell r="O304" t="str">
            <v>298</v>
          </cell>
        </row>
        <row r="305">
          <cell r="N305" t="str">
            <v>9179</v>
          </cell>
          <cell r="O305" t="str">
            <v>299</v>
          </cell>
          <cell r="P305" t="str">
            <v>BOQUILHA BiB IT</v>
          </cell>
        </row>
        <row r="306">
          <cell r="N306" t="str">
            <v>9180</v>
          </cell>
          <cell r="O306" t="str">
            <v>300</v>
          </cell>
          <cell r="P306" t="str">
            <v>TORNEIRA BiB IT</v>
          </cell>
        </row>
        <row r="307">
          <cell r="N307" t="str">
            <v>0495</v>
          </cell>
          <cell r="O307" t="str">
            <v>301</v>
          </cell>
          <cell r="P307" t="str">
            <v>P/JERRYCAN</v>
          </cell>
        </row>
        <row r="308">
          <cell r="N308" t="str">
            <v>0526</v>
          </cell>
          <cell r="O308" t="str">
            <v>302</v>
          </cell>
        </row>
        <row r="309">
          <cell r="N309" t="str">
            <v>0515</v>
          </cell>
          <cell r="O309" t="str">
            <v>303</v>
          </cell>
        </row>
        <row r="310">
          <cell r="N310" t="str">
            <v>0570</v>
          </cell>
          <cell r="O310" t="str">
            <v>304</v>
          </cell>
        </row>
        <row r="311">
          <cell r="N311" t="str">
            <v>0490</v>
          </cell>
          <cell r="O311" t="str">
            <v>305</v>
          </cell>
          <cell r="P311" t="str">
            <v>P/ LAMELA</v>
          </cell>
        </row>
        <row r="312">
          <cell r="N312" t="str">
            <v>5204</v>
          </cell>
          <cell r="O312" t="str">
            <v>306</v>
          </cell>
          <cell r="P312" t="str">
            <v>ESPALHADOR IAGA</v>
          </cell>
        </row>
        <row r="313">
          <cell r="N313" t="str">
            <v>0550</v>
          </cell>
          <cell r="O313" t="str">
            <v>307</v>
          </cell>
        </row>
        <row r="314">
          <cell r="N314" t="str">
            <v>5306</v>
          </cell>
          <cell r="O314" t="str">
            <v>308</v>
          </cell>
          <cell r="P314" t="str">
            <v>TIRA GRANDE H.VIEIRA</v>
          </cell>
        </row>
        <row r="315">
          <cell r="N315" t="str">
            <v>5604</v>
          </cell>
          <cell r="O315" t="str">
            <v>309</v>
          </cell>
          <cell r="P315" t="str">
            <v>BOMBA ALBINO VIEIRA</v>
          </cell>
        </row>
        <row r="316">
          <cell r="N316" t="str">
            <v>5610</v>
          </cell>
          <cell r="O316" t="str">
            <v>310</v>
          </cell>
          <cell r="P316" t="str">
            <v>DISTRIBUIDOR P/ BOMBA</v>
          </cell>
        </row>
        <row r="317">
          <cell r="N317" t="str">
            <v>5609</v>
          </cell>
          <cell r="O317" t="str">
            <v>311</v>
          </cell>
          <cell r="P317" t="str">
            <v>TIRA GRANDE ALBINO VIEIRA</v>
          </cell>
        </row>
        <row r="318">
          <cell r="N318" t="str">
            <v>0527</v>
          </cell>
          <cell r="O318" t="str">
            <v>312</v>
          </cell>
        </row>
        <row r="319">
          <cell r="N319" t="str">
            <v>9074</v>
          </cell>
          <cell r="O319" t="str">
            <v>313</v>
          </cell>
        </row>
        <row r="320">
          <cell r="N320" t="str">
            <v>9075</v>
          </cell>
          <cell r="O320" t="str">
            <v>314</v>
          </cell>
        </row>
        <row r="321">
          <cell r="N321" t="str">
            <v>0558</v>
          </cell>
          <cell r="O321" t="str">
            <v>315</v>
          </cell>
        </row>
        <row r="322">
          <cell r="N322" t="str">
            <v>0503</v>
          </cell>
          <cell r="O322" t="str">
            <v>316</v>
          </cell>
        </row>
        <row r="323">
          <cell r="N323" t="str">
            <v>0571</v>
          </cell>
          <cell r="O323" t="str">
            <v>317</v>
          </cell>
        </row>
        <row r="324">
          <cell r="N324" t="str">
            <v>0543</v>
          </cell>
          <cell r="O324" t="str">
            <v>318</v>
          </cell>
        </row>
        <row r="325">
          <cell r="N325" t="str">
            <v>0616</v>
          </cell>
          <cell r="O325" t="str">
            <v>319</v>
          </cell>
          <cell r="P325" t="str">
            <v>SELO P/ CINTA METÁLICA</v>
          </cell>
        </row>
        <row r="326">
          <cell r="N326" t="str">
            <v>0530</v>
          </cell>
          <cell r="O326" t="str">
            <v>320</v>
          </cell>
          <cell r="P326" t="str">
            <v>SELO INVIOLÁVEL  P/ TAMPA</v>
          </cell>
        </row>
        <row r="327">
          <cell r="N327" t="str">
            <v>0586</v>
          </cell>
          <cell r="O327" t="str">
            <v>321</v>
          </cell>
          <cell r="P327" t="str">
            <v>CAVILHA FIXAÇÃO ASA</v>
          </cell>
        </row>
        <row r="328">
          <cell r="N328" t="str">
            <v>5310</v>
          </cell>
          <cell r="O328" t="str">
            <v>322</v>
          </cell>
          <cell r="P328" t="str">
            <v>ARO DA REDE FUNIL H.VIEIRA</v>
          </cell>
        </row>
        <row r="329">
          <cell r="N329" t="str">
            <v>5309</v>
          </cell>
          <cell r="O329" t="str">
            <v>323</v>
          </cell>
          <cell r="P329" t="str">
            <v>FUNIL HENRIQUE VIEIRA</v>
          </cell>
        </row>
        <row r="330">
          <cell r="N330" t="str">
            <v>1040</v>
          </cell>
          <cell r="O330" t="str">
            <v>324</v>
          </cell>
        </row>
        <row r="331">
          <cell r="N331" t="str">
            <v>5908</v>
          </cell>
          <cell r="O331" t="str">
            <v>325</v>
          </cell>
          <cell r="P331" t="str">
            <v>P/ GUARDA SOL</v>
          </cell>
        </row>
        <row r="332">
          <cell r="N332" t="str">
            <v>9181</v>
          </cell>
          <cell r="O332" t="str">
            <v>326</v>
          </cell>
        </row>
        <row r="333">
          <cell r="N333" t="str">
            <v>0482</v>
          </cell>
          <cell r="O333" t="str">
            <v>327</v>
          </cell>
          <cell r="P333" t="str">
            <v>FIXADOR PEAD PARA HITO</v>
          </cell>
        </row>
        <row r="334">
          <cell r="N334" t="str">
            <v>8012</v>
          </cell>
          <cell r="O334" t="str">
            <v>328</v>
          </cell>
          <cell r="P334" t="str">
            <v>530X620</v>
          </cell>
        </row>
        <row r="335">
          <cell r="N335" t="str">
            <v>8013</v>
          </cell>
          <cell r="O335" t="str">
            <v>329</v>
          </cell>
          <cell r="P335" t="str">
            <v>530X885</v>
          </cell>
        </row>
        <row r="336">
          <cell r="N336" t="str">
            <v>9183</v>
          </cell>
          <cell r="O336" t="str">
            <v>330</v>
          </cell>
        </row>
        <row r="337">
          <cell r="N337" t="str">
            <v>9028</v>
          </cell>
          <cell r="O337" t="str">
            <v>331</v>
          </cell>
        </row>
        <row r="338">
          <cell r="N338" t="str">
            <v>5074</v>
          </cell>
          <cell r="O338" t="str">
            <v>332</v>
          </cell>
          <cell r="P338" t="str">
            <v>BASE P/HITO ENCAIXE</v>
          </cell>
        </row>
        <row r="339">
          <cell r="N339" t="str">
            <v>9218</v>
          </cell>
          <cell r="O339" t="str">
            <v>333</v>
          </cell>
        </row>
        <row r="340">
          <cell r="N340" t="str">
            <v>9184</v>
          </cell>
          <cell r="O340" t="str">
            <v>334</v>
          </cell>
        </row>
        <row r="341">
          <cell r="N341" t="str">
            <v>5086</v>
          </cell>
          <cell r="O341" t="str">
            <v>335</v>
          </cell>
        </row>
        <row r="342">
          <cell r="N342" t="str">
            <v>1279</v>
          </cell>
          <cell r="O342" t="str">
            <v>336</v>
          </cell>
        </row>
        <row r="343">
          <cell r="N343" t="str">
            <v>9017</v>
          </cell>
          <cell r="O343" t="str">
            <v>337</v>
          </cell>
          <cell r="P343" t="str">
            <v>3/4 Ø8mm</v>
          </cell>
        </row>
        <row r="344">
          <cell r="N344" t="str">
            <v>9021</v>
          </cell>
          <cell r="O344" t="str">
            <v>338</v>
          </cell>
          <cell r="P344" t="str">
            <v>3/4 Ø17mm</v>
          </cell>
        </row>
        <row r="345">
          <cell r="N345" t="str">
            <v>0577</v>
          </cell>
          <cell r="O345" t="str">
            <v>339</v>
          </cell>
          <cell r="P345" t="str">
            <v>P/ BOION</v>
          </cell>
        </row>
        <row r="346">
          <cell r="N346" t="str">
            <v>1280</v>
          </cell>
          <cell r="O346" t="str">
            <v>340</v>
          </cell>
        </row>
        <row r="347">
          <cell r="N347" t="str">
            <v>0521</v>
          </cell>
          <cell r="O347" t="str">
            <v>341</v>
          </cell>
          <cell r="P347" t="str">
            <v>P/REF.1014</v>
          </cell>
        </row>
        <row r="348">
          <cell r="N348" t="str">
            <v>9007</v>
          </cell>
          <cell r="O348" t="str">
            <v>342</v>
          </cell>
          <cell r="P348" t="str">
            <v>BUJON 25.3x12.6x3</v>
          </cell>
        </row>
        <row r="349">
          <cell r="N349" t="str">
            <v>9037</v>
          </cell>
          <cell r="O349" t="str">
            <v>343</v>
          </cell>
          <cell r="P349" t="str">
            <v>TAMPA 0497 56x36x3</v>
          </cell>
        </row>
        <row r="350">
          <cell r="N350" t="str">
            <v>9320</v>
          </cell>
          <cell r="O350" t="str">
            <v>344</v>
          </cell>
        </row>
        <row r="351">
          <cell r="N351" t="str">
            <v>9185</v>
          </cell>
          <cell r="O351" t="str">
            <v>345</v>
          </cell>
          <cell r="P351" t="str">
            <v>ECOBULK MX UN / DN150</v>
          </cell>
        </row>
        <row r="352">
          <cell r="N352" t="str">
            <v>0487</v>
          </cell>
          <cell r="O352" t="str">
            <v>346</v>
          </cell>
        </row>
        <row r="353">
          <cell r="N353" t="str">
            <v>9210</v>
          </cell>
          <cell r="O353" t="str">
            <v>347</v>
          </cell>
        </row>
        <row r="354">
          <cell r="N354" t="str">
            <v>9211</v>
          </cell>
          <cell r="O354" t="str">
            <v>348</v>
          </cell>
        </row>
        <row r="355">
          <cell r="N355" t="str">
            <v>9212</v>
          </cell>
          <cell r="O355" t="str">
            <v>349</v>
          </cell>
        </row>
        <row r="356">
          <cell r="N356" t="str">
            <v>9213</v>
          </cell>
          <cell r="O356" t="str">
            <v>350</v>
          </cell>
        </row>
        <row r="357">
          <cell r="N357" t="str">
            <v>9214</v>
          </cell>
          <cell r="O357" t="str">
            <v>351</v>
          </cell>
        </row>
        <row r="358">
          <cell r="N358" t="str">
            <v>9078</v>
          </cell>
          <cell r="O358" t="str">
            <v>352</v>
          </cell>
          <cell r="P358" t="str">
            <v>C/ADAPTAÇÃO P/TORNEIRA</v>
          </cell>
        </row>
        <row r="359">
          <cell r="N359" t="str">
            <v>9162</v>
          </cell>
          <cell r="O359" t="str">
            <v>353</v>
          </cell>
          <cell r="P359" t="str">
            <v>28/410 290mm BRANCO</v>
          </cell>
        </row>
        <row r="360">
          <cell r="N360" t="str">
            <v>9175</v>
          </cell>
          <cell r="O360" t="str">
            <v>354</v>
          </cell>
          <cell r="P360" t="str">
            <v>28/410 290mm PRETO</v>
          </cell>
        </row>
        <row r="361">
          <cell r="N361" t="str">
            <v>9098</v>
          </cell>
          <cell r="O361" t="str">
            <v>355</v>
          </cell>
          <cell r="P361" t="str">
            <v>28/400 270mm BRANCO</v>
          </cell>
        </row>
        <row r="362">
          <cell r="N362" t="str">
            <v>9144</v>
          </cell>
          <cell r="O362" t="str">
            <v>356</v>
          </cell>
          <cell r="P362" t="str">
            <v>28/410 290mm LARANJA</v>
          </cell>
        </row>
        <row r="363">
          <cell r="N363" t="str">
            <v>9008</v>
          </cell>
          <cell r="O363" t="str">
            <v>357</v>
          </cell>
          <cell r="P363" t="str">
            <v>28/410 240mm BRANCO</v>
          </cell>
        </row>
        <row r="364">
          <cell r="N364" t="str">
            <v>9073</v>
          </cell>
          <cell r="O364" t="str">
            <v>358</v>
          </cell>
        </row>
        <row r="365">
          <cell r="N365" t="str">
            <v>9133</v>
          </cell>
          <cell r="O365" t="str">
            <v>359</v>
          </cell>
        </row>
        <row r="366">
          <cell r="N366" t="str">
            <v>9130</v>
          </cell>
          <cell r="O366" t="str">
            <v>360</v>
          </cell>
          <cell r="P366" t="str">
            <v>FLIP TOP</v>
          </cell>
        </row>
        <row r="367">
          <cell r="N367" t="str">
            <v>1281</v>
          </cell>
          <cell r="O367" t="str">
            <v>361</v>
          </cell>
          <cell r="P367" t="str">
            <v>L-RING</v>
          </cell>
        </row>
        <row r="368">
          <cell r="N368" t="str">
            <v>1235</v>
          </cell>
          <cell r="O368" t="str">
            <v>362</v>
          </cell>
          <cell r="P368" t="str">
            <v>RY</v>
          </cell>
        </row>
        <row r="369">
          <cell r="N369" t="str">
            <v>0522</v>
          </cell>
          <cell r="O369" t="str">
            <v>363</v>
          </cell>
          <cell r="P369" t="str">
            <v>ASA P/ GARRAFÃO BL</v>
          </cell>
        </row>
        <row r="370">
          <cell r="N370" t="str">
            <v>9131</v>
          </cell>
          <cell r="O370" t="str">
            <v>364</v>
          </cell>
          <cell r="P370" t="str">
            <v>GRELHA P/ BARRICA Refª: 1277</v>
          </cell>
        </row>
        <row r="371">
          <cell r="N371" t="str">
            <v>9016</v>
          </cell>
          <cell r="O371" t="str">
            <v>365</v>
          </cell>
          <cell r="P371" t="str">
            <v>4mL TUBO 270mm</v>
          </cell>
        </row>
        <row r="372">
          <cell r="N372" t="str">
            <v>0567</v>
          </cell>
          <cell r="O372" t="str">
            <v>366</v>
          </cell>
          <cell r="P372" t="str">
            <v>URINOL</v>
          </cell>
        </row>
        <row r="373">
          <cell r="N373" t="str">
            <v>9158</v>
          </cell>
          <cell r="O373" t="str">
            <v>367</v>
          </cell>
          <cell r="P373" t="str">
            <v>28/410mm</v>
          </cell>
        </row>
        <row r="374">
          <cell r="N374" t="str">
            <v>5303</v>
          </cell>
          <cell r="O374" t="str">
            <v>368</v>
          </cell>
          <cell r="P374" t="str">
            <v>GASOLINA</v>
          </cell>
        </row>
        <row r="375">
          <cell r="N375" t="str">
            <v>5304</v>
          </cell>
          <cell r="O375" t="str">
            <v>369</v>
          </cell>
          <cell r="P375" t="str">
            <v>TAMPA GASOLINA</v>
          </cell>
        </row>
        <row r="376">
          <cell r="N376" t="str">
            <v>5307</v>
          </cell>
          <cell r="O376" t="str">
            <v>370</v>
          </cell>
          <cell r="P376" t="str">
            <v>BOCAL</v>
          </cell>
        </row>
        <row r="377">
          <cell r="N377" t="str">
            <v>9129</v>
          </cell>
          <cell r="O377" t="str">
            <v>371</v>
          </cell>
          <cell r="P377" t="str">
            <v>FLIP TOP</v>
          </cell>
        </row>
        <row r="378">
          <cell r="N378" t="str">
            <v>5607</v>
          </cell>
          <cell r="O378" t="str">
            <v>372</v>
          </cell>
          <cell r="P378" t="str">
            <v>VALVULA ALBINO VIEIRA</v>
          </cell>
        </row>
        <row r="379">
          <cell r="N379" t="str">
            <v>0610</v>
          </cell>
          <cell r="O379" t="str">
            <v>373</v>
          </cell>
        </row>
        <row r="380">
          <cell r="N380" t="str">
            <v>1315</v>
          </cell>
          <cell r="O380" t="str">
            <v>374</v>
          </cell>
        </row>
        <row r="381">
          <cell r="N381" t="str">
            <v>1317</v>
          </cell>
          <cell r="O381" t="str">
            <v>375</v>
          </cell>
          <cell r="P381" t="str">
            <v>Novo garrafão BBM 17,5L (refª por abrir)</v>
          </cell>
        </row>
        <row r="382">
          <cell r="N382" t="str">
            <v>1320</v>
          </cell>
          <cell r="O382" t="str">
            <v>376</v>
          </cell>
        </row>
        <row r="383">
          <cell r="N383" t="str">
            <v>1322</v>
          </cell>
          <cell r="O383" t="str">
            <v>377</v>
          </cell>
          <cell r="P383" t="str">
            <v>Novo garrafão BBM 22,5L (refª por abrir)</v>
          </cell>
        </row>
        <row r="384">
          <cell r="N384" t="str">
            <v>1325</v>
          </cell>
          <cell r="O384" t="str">
            <v>378</v>
          </cell>
        </row>
        <row r="385">
          <cell r="N385" t="str">
            <v>1327</v>
          </cell>
          <cell r="O385" t="str">
            <v>379</v>
          </cell>
          <cell r="P385" t="str">
            <v>Novo garrafão BBM 27,5L (refª por abrir)</v>
          </cell>
        </row>
        <row r="386">
          <cell r="N386" t="str">
            <v>1330</v>
          </cell>
          <cell r="O386" t="str">
            <v>380</v>
          </cell>
          <cell r="P386" t="str">
            <v>CONICA</v>
          </cell>
        </row>
        <row r="387">
          <cell r="N387" t="str">
            <v>9001</v>
          </cell>
          <cell r="O387" t="str">
            <v>381</v>
          </cell>
          <cell r="P387" t="str">
            <v>""JERRYCAN"" 39.30X29.3X2</v>
          </cell>
        </row>
        <row r="388">
          <cell r="N388" t="str">
            <v>0510</v>
          </cell>
          <cell r="O388" t="str">
            <v>382</v>
          </cell>
        </row>
        <row r="389">
          <cell r="N389" t="str">
            <v>5011</v>
          </cell>
          <cell r="O389" t="str">
            <v>383</v>
          </cell>
        </row>
        <row r="390">
          <cell r="N390" t="str">
            <v>5606</v>
          </cell>
          <cell r="O390" t="str">
            <v>384</v>
          </cell>
          <cell r="P390" t="str">
            <v>TAMPA GASOLINA ALBINO VIEIRA</v>
          </cell>
        </row>
        <row r="391">
          <cell r="N391" t="str">
            <v>5608</v>
          </cell>
          <cell r="O391" t="str">
            <v>385</v>
          </cell>
          <cell r="P391" t="str">
            <v>TIRA PEQUENA ALBINO VIEIRA</v>
          </cell>
        </row>
        <row r="392">
          <cell r="N392" t="str">
            <v>0578</v>
          </cell>
          <cell r="O392" t="str">
            <v>386</v>
          </cell>
          <cell r="P392" t="str">
            <v>SUB-TAMPA</v>
          </cell>
        </row>
        <row r="393">
          <cell r="N393" t="str">
            <v>9321</v>
          </cell>
          <cell r="O393" t="str">
            <v>387</v>
          </cell>
          <cell r="P393" t="str">
            <v>MIXER IBC 1000L DN 150</v>
          </cell>
        </row>
        <row r="394">
          <cell r="N394" t="str">
            <v>9322</v>
          </cell>
          <cell r="O394" t="str">
            <v>388</v>
          </cell>
          <cell r="P394" t="str">
            <v>ADAPTADOR IBC 2"" PARA 1""</v>
          </cell>
        </row>
        <row r="395">
          <cell r="N395" t="str">
            <v>9003</v>
          </cell>
          <cell r="O395" t="str">
            <v>389</v>
          </cell>
        </row>
        <row r="396">
          <cell r="N396" t="str">
            <v>5016</v>
          </cell>
          <cell r="O396" t="str">
            <v>390</v>
          </cell>
          <cell r="P396" t="str">
            <v>POLISPORT</v>
          </cell>
        </row>
        <row r="397">
          <cell r="N397" t="str">
            <v>5017</v>
          </cell>
          <cell r="O397" t="str">
            <v>391</v>
          </cell>
          <cell r="P397" t="str">
            <v>POLISPORT</v>
          </cell>
        </row>
        <row r="398">
          <cell r="N398" t="str">
            <v>1601</v>
          </cell>
          <cell r="O398" t="str">
            <v>392</v>
          </cell>
        </row>
        <row r="399">
          <cell r="N399" t="str">
            <v>1605</v>
          </cell>
          <cell r="O399" t="str">
            <v>393</v>
          </cell>
        </row>
        <row r="400">
          <cell r="N400" t="str">
            <v>9186</v>
          </cell>
          <cell r="O400" t="str">
            <v>394</v>
          </cell>
          <cell r="P400" t="str">
            <v>3/4 Ø25mm</v>
          </cell>
        </row>
        <row r="401">
          <cell r="N401" t="str">
            <v>9187</v>
          </cell>
          <cell r="O401" t="str">
            <v>395</v>
          </cell>
          <cell r="P401" t="str">
            <v>S AGRO COM DISCO</v>
          </cell>
        </row>
        <row r="402">
          <cell r="N402" t="str">
            <v>9188</v>
          </cell>
          <cell r="O402" t="str">
            <v>396</v>
          </cell>
          <cell r="P402" t="str">
            <v>S AGRO</v>
          </cell>
        </row>
        <row r="403">
          <cell r="N403" t="str">
            <v>9189</v>
          </cell>
          <cell r="O403" t="str">
            <v>397</v>
          </cell>
          <cell r="P403" t="str">
            <v>TH - SUBTERRANEO</v>
          </cell>
        </row>
        <row r="404">
          <cell r="N404" t="str">
            <v>9219</v>
          </cell>
          <cell r="O404" t="str">
            <v>398</v>
          </cell>
        </row>
        <row r="405">
          <cell r="N405" t="str">
            <v>9190</v>
          </cell>
          <cell r="O405" t="str">
            <v>399</v>
          </cell>
        </row>
        <row r="406">
          <cell r="N406" t="str">
            <v>9145</v>
          </cell>
          <cell r="O406" t="str">
            <v>400</v>
          </cell>
          <cell r="P406" t="str">
            <v>25mL TUBO 270mm</v>
          </cell>
        </row>
        <row r="407">
          <cell r="N407" t="str">
            <v>9191</v>
          </cell>
          <cell r="O407" t="str">
            <v>401</v>
          </cell>
          <cell r="P407" t="str">
            <v>CORDÃO EPDM Ø6</v>
          </cell>
        </row>
        <row r="408">
          <cell r="N408" t="str">
            <v>1282</v>
          </cell>
          <cell r="O408" t="str">
            <v>402</v>
          </cell>
        </row>
        <row r="409">
          <cell r="N409" t="str">
            <v>9206</v>
          </cell>
          <cell r="O409" t="str">
            <v>403</v>
          </cell>
        </row>
        <row r="410">
          <cell r="N410" t="str">
            <v>9207</v>
          </cell>
          <cell r="O410" t="str">
            <v>404</v>
          </cell>
        </row>
        <row r="411">
          <cell r="N411" t="str">
            <v>9208</v>
          </cell>
          <cell r="O411" t="str">
            <v>405</v>
          </cell>
        </row>
        <row r="412">
          <cell r="N412" t="str">
            <v>9209</v>
          </cell>
          <cell r="O412" t="str">
            <v>406</v>
          </cell>
        </row>
        <row r="413">
          <cell r="N413" t="str">
            <v>5915</v>
          </cell>
          <cell r="O413" t="str">
            <v>407</v>
          </cell>
          <cell r="P413" t="str">
            <v>ARO RECTANGULAR 950X220mm</v>
          </cell>
        </row>
        <row r="414">
          <cell r="N414" t="str">
            <v>1283</v>
          </cell>
          <cell r="O414" t="str">
            <v>408</v>
          </cell>
        </row>
        <row r="415">
          <cell r="N415" t="str">
            <v>1328</v>
          </cell>
          <cell r="O415" t="str">
            <v>409</v>
          </cell>
        </row>
        <row r="416">
          <cell r="N416" t="str">
            <v>9231</v>
          </cell>
          <cell r="O416" t="str">
            <v>410</v>
          </cell>
        </row>
        <row r="417">
          <cell r="N417" t="str">
            <v>5018</v>
          </cell>
          <cell r="O417" t="str">
            <v>411</v>
          </cell>
          <cell r="P417" t="str">
            <v>MPT</v>
          </cell>
        </row>
        <row r="418">
          <cell r="N418" t="str">
            <v>5019</v>
          </cell>
          <cell r="O418" t="str">
            <v>412</v>
          </cell>
          <cell r="P418" t="str">
            <v>MPT</v>
          </cell>
        </row>
        <row r="419">
          <cell r="N419" t="str">
            <v>5020</v>
          </cell>
          <cell r="O419" t="str">
            <v>413</v>
          </cell>
          <cell r="P419" t="str">
            <v>MPT</v>
          </cell>
        </row>
        <row r="420">
          <cell r="N420" t="str">
            <v>9232</v>
          </cell>
          <cell r="O420" t="str">
            <v>414</v>
          </cell>
        </row>
        <row r="421">
          <cell r="N421" t="str">
            <v>9192</v>
          </cell>
          <cell r="O421" t="str">
            <v>415</v>
          </cell>
        </row>
        <row r="422">
          <cell r="N422" t="str">
            <v>5090</v>
          </cell>
          <cell r="O422" t="str">
            <v>416</v>
          </cell>
        </row>
        <row r="423">
          <cell r="N423" t="str">
            <v>1405</v>
          </cell>
          <cell r="O423" t="str">
            <v>417</v>
          </cell>
        </row>
        <row r="424">
          <cell r="N424" t="str">
            <v>9193</v>
          </cell>
          <cell r="O424" t="str">
            <v>418</v>
          </cell>
          <cell r="P424" t="str">
            <v>PRF SMALL</v>
          </cell>
        </row>
        <row r="425">
          <cell r="N425" t="str">
            <v>5916</v>
          </cell>
          <cell r="O425" t="str">
            <v>419</v>
          </cell>
          <cell r="P425" t="str">
            <v>ARO RECTANGULAR 650X205mm</v>
          </cell>
        </row>
        <row r="426">
          <cell r="N426" t="str">
            <v>5917</v>
          </cell>
          <cell r="O426" t="str">
            <v>420</v>
          </cell>
          <cell r="P426" t="str">
            <v>ARO RECTANGULAR 280X240mm</v>
          </cell>
        </row>
        <row r="427">
          <cell r="N427" t="str">
            <v>5918</v>
          </cell>
          <cell r="O427" t="str">
            <v>421</v>
          </cell>
          <cell r="P427" t="str">
            <v>ARO RECTANGULAR 355x245mm</v>
          </cell>
        </row>
        <row r="428">
          <cell r="N428" t="str">
            <v>0540</v>
          </cell>
          <cell r="O428" t="str">
            <v>421</v>
          </cell>
          <cell r="P428" t="str">
            <v>PONTEIRA PEQUENA PARA PIPETA 0538</v>
          </cell>
        </row>
        <row r="429">
          <cell r="N429" t="str">
            <v>1309</v>
          </cell>
          <cell r="O429" t="str">
            <v>423</v>
          </cell>
          <cell r="P429" t="str">
            <v>""novo modelo 10L""</v>
          </cell>
        </row>
        <row r="430">
          <cell r="N430" t="str">
            <v>1312</v>
          </cell>
          <cell r="O430" t="str">
            <v>424</v>
          </cell>
          <cell r="P430" t="str">
            <v>EMPILHAVEL</v>
          </cell>
        </row>
        <row r="431">
          <cell r="N431" t="str">
            <v>9194</v>
          </cell>
          <cell r="O431" t="str">
            <v>425</v>
          </cell>
        </row>
        <row r="432">
          <cell r="N432" t="str">
            <v>0531</v>
          </cell>
          <cell r="O432" t="str">
            <v>426</v>
          </cell>
          <cell r="P432" t="str">
            <v>BARREL CATCH</v>
          </cell>
        </row>
        <row r="433">
          <cell r="N433" t="str">
            <v>9233</v>
          </cell>
          <cell r="O433" t="str">
            <v>427</v>
          </cell>
        </row>
        <row r="434">
          <cell r="N434" t="str">
            <v>9195</v>
          </cell>
          <cell r="O434" t="str">
            <v>428</v>
          </cell>
        </row>
        <row r="435">
          <cell r="N435" t="str">
            <v>9196</v>
          </cell>
          <cell r="O435" t="str">
            <v>429</v>
          </cell>
        </row>
        <row r="436">
          <cell r="N436" t="str">
            <v>1308</v>
          </cell>
          <cell r="O436" t="str">
            <v>430</v>
          </cell>
        </row>
        <row r="437">
          <cell r="N437" t="str">
            <v>9197</v>
          </cell>
          <cell r="O437" t="str">
            <v>431</v>
          </cell>
          <cell r="P437" t="str">
            <v>DISC TOP</v>
          </cell>
        </row>
        <row r="438">
          <cell r="N438" t="str">
            <v>0634</v>
          </cell>
          <cell r="O438" t="str">
            <v>432</v>
          </cell>
          <cell r="P438" t="str">
            <v>60 CM STACKABLE</v>
          </cell>
        </row>
        <row r="439">
          <cell r="N439" t="str">
            <v>9198</v>
          </cell>
          <cell r="O439" t="str">
            <v>433</v>
          </cell>
          <cell r="P439" t="str">
            <v>RD-232 28/410</v>
          </cell>
        </row>
        <row r="440">
          <cell r="N440" t="str">
            <v>9199</v>
          </cell>
          <cell r="O440" t="str">
            <v>434</v>
          </cell>
          <cell r="P440" t="str">
            <v>RD 104Z 28/410</v>
          </cell>
        </row>
        <row r="441">
          <cell r="N441" t="str">
            <v>9234</v>
          </cell>
          <cell r="O441" t="str">
            <v>435</v>
          </cell>
          <cell r="P441" t="str">
            <v>B ECO</v>
          </cell>
        </row>
        <row r="442">
          <cell r="N442" t="str">
            <v>1284</v>
          </cell>
          <cell r="O442" t="str">
            <v>436</v>
          </cell>
          <cell r="P442" t="str">
            <v>QUADRADA</v>
          </cell>
        </row>
        <row r="443">
          <cell r="N443" t="str">
            <v>0541</v>
          </cell>
          <cell r="O443" t="str">
            <v>437</v>
          </cell>
          <cell r="P443" t="str">
            <v>SPOUT FLEXIVEL</v>
          </cell>
        </row>
        <row r="444">
          <cell r="N444" t="str">
            <v>5913</v>
          </cell>
          <cell r="O444" t="str">
            <v>438</v>
          </cell>
        </row>
        <row r="445">
          <cell r="N445" t="str">
            <v>1410</v>
          </cell>
          <cell r="O445" t="str">
            <v>439</v>
          </cell>
        </row>
        <row r="446">
          <cell r="N446" t="str">
            <v>5919</v>
          </cell>
          <cell r="O446" t="str">
            <v>440</v>
          </cell>
          <cell r="P446" t="str">
            <v>ARO RECTANGULAR 890x190mm</v>
          </cell>
        </row>
        <row r="447">
          <cell r="N447" t="str">
            <v>9235</v>
          </cell>
          <cell r="O447" t="str">
            <v>441</v>
          </cell>
          <cell r="P447" t="str">
            <v>JETEL</v>
          </cell>
        </row>
        <row r="448">
          <cell r="N448" t="str">
            <v>9236</v>
          </cell>
          <cell r="O448" t="str">
            <v>442</v>
          </cell>
          <cell r="P448" t="str">
            <v>XY05-2 Ø28/410 250mm</v>
          </cell>
        </row>
        <row r="449">
          <cell r="N449" t="str">
            <v>9237</v>
          </cell>
          <cell r="O449" t="str">
            <v>443</v>
          </cell>
          <cell r="P449" t="str">
            <v>XY20-2 Ø28/410 250mm</v>
          </cell>
        </row>
        <row r="450">
          <cell r="N450" t="str">
            <v>9238</v>
          </cell>
          <cell r="O450" t="str">
            <v>444</v>
          </cell>
          <cell r="P450" t="str">
            <v>JY102-18 TR 28/410 210mm</v>
          </cell>
        </row>
        <row r="451">
          <cell r="N451" t="str">
            <v>1412</v>
          </cell>
          <cell r="O451" t="str">
            <v>445</v>
          </cell>
        </row>
        <row r="452">
          <cell r="N452" t="str">
            <v>5920</v>
          </cell>
          <cell r="O452" t="str">
            <v>446</v>
          </cell>
          <cell r="P452" t="str">
            <v>P/ GUARDA SOL CLOVER</v>
          </cell>
        </row>
        <row r="453">
          <cell r="N453" t="str">
            <v>0545</v>
          </cell>
          <cell r="O453" t="str">
            <v>447</v>
          </cell>
          <cell r="P453" t="str">
            <v>SPOUT FLEXIVEL</v>
          </cell>
        </row>
        <row r="454">
          <cell r="N454" t="str">
            <v>9239</v>
          </cell>
          <cell r="O454" t="str">
            <v>448</v>
          </cell>
          <cell r="P454" t="str">
            <v>B FLEX BAND</v>
          </cell>
        </row>
        <row r="455">
          <cell r="N455" t="str">
            <v>1024</v>
          </cell>
          <cell r="O455" t="str">
            <v>449</v>
          </cell>
        </row>
        <row r="456">
          <cell r="N456" t="str">
            <v>1025</v>
          </cell>
          <cell r="O456" t="str">
            <v>450</v>
          </cell>
        </row>
        <row r="457">
          <cell r="N457" t="str">
            <v>0489</v>
          </cell>
          <cell r="O457" t="str">
            <v>451</v>
          </cell>
          <cell r="P457" t="str">
            <v>PEÇA INTERIOR PARA LAMELA</v>
          </cell>
        </row>
        <row r="458">
          <cell r="N458" t="str">
            <v>9240</v>
          </cell>
          <cell r="O458" t="str">
            <v>452</v>
          </cell>
          <cell r="P458" t="str">
            <v>AT.CAN 3A ESPUMA</v>
          </cell>
        </row>
        <row r="459">
          <cell r="N459" t="str">
            <v>9241</v>
          </cell>
          <cell r="O459" t="str">
            <v>453</v>
          </cell>
          <cell r="P459" t="str">
            <v>EXTENSAO AT.CAN 3A ESPUMA</v>
          </cell>
        </row>
        <row r="460">
          <cell r="N460" t="str">
            <v>9323</v>
          </cell>
          <cell r="O460" t="str">
            <v>455</v>
          </cell>
          <cell r="P460" t="str">
            <v>BOION C</v>
          </cell>
        </row>
        <row r="461">
          <cell r="N461" t="str">
            <v>9324</v>
          </cell>
          <cell r="O461" t="str">
            <v>456</v>
          </cell>
          <cell r="P461" t="str">
            <v>BOION C</v>
          </cell>
        </row>
        <row r="462">
          <cell r="N462" t="str">
            <v>9325</v>
          </cell>
          <cell r="O462" t="str">
            <v>457</v>
          </cell>
          <cell r="P462" t="str">
            <v>BOION C</v>
          </cell>
        </row>
        <row r="463">
          <cell r="N463" t="str">
            <v>1206</v>
          </cell>
          <cell r="O463" t="str">
            <v>458</v>
          </cell>
        </row>
        <row r="464">
          <cell r="N464" t="str">
            <v>9326</v>
          </cell>
          <cell r="O464" t="str">
            <v>459</v>
          </cell>
        </row>
        <row r="465">
          <cell r="N465" t="str">
            <v>9327</v>
          </cell>
          <cell r="O465" t="str">
            <v>460</v>
          </cell>
          <cell r="P465" t="str">
            <v>PET G (G=Gepack)</v>
          </cell>
        </row>
        <row r="466">
          <cell r="N466" t="str">
            <v>0546</v>
          </cell>
          <cell r="O466" t="str">
            <v>461</v>
          </cell>
          <cell r="P466" t="str">
            <v>FLIP TOP</v>
          </cell>
        </row>
        <row r="467">
          <cell r="N467" t="str">
            <v>9328</v>
          </cell>
          <cell r="O467" t="str">
            <v>462</v>
          </cell>
        </row>
        <row r="468">
          <cell r="N468" t="str">
            <v>9329</v>
          </cell>
          <cell r="O468" t="str">
            <v>463</v>
          </cell>
          <cell r="P468" t="str">
            <v>G3/4</v>
          </cell>
        </row>
        <row r="469">
          <cell r="N469" t="str">
            <v>9330</v>
          </cell>
          <cell r="O469" t="str">
            <v>464</v>
          </cell>
          <cell r="P469" t="str">
            <v>TAMPA FEP CRC</v>
          </cell>
        </row>
        <row r="470">
          <cell r="N470" t="str">
            <v>1285</v>
          </cell>
          <cell r="O470" t="str">
            <v>465</v>
          </cell>
          <cell r="P470" t="str">
            <v>EXP</v>
          </cell>
        </row>
        <row r="471">
          <cell r="N471" t="str">
            <v>9331</v>
          </cell>
          <cell r="O471" t="str">
            <v>466</v>
          </cell>
        </row>
        <row r="472">
          <cell r="N472" t="str">
            <v>0549</v>
          </cell>
          <cell r="O472" t="str">
            <v>467</v>
          </cell>
          <cell r="P472" t="str">
            <v>ASA Garrafão PET</v>
          </cell>
        </row>
        <row r="473">
          <cell r="N473" t="str">
            <v>0551</v>
          </cell>
          <cell r="O473" t="str">
            <v>468</v>
          </cell>
          <cell r="P473" t="str">
            <v>CHAVE APERTO S</v>
          </cell>
        </row>
        <row r="474">
          <cell r="N474" t="str">
            <v>9071</v>
          </cell>
          <cell r="O474" t="str">
            <v>469</v>
          </cell>
          <cell r="P474" t="str">
            <v>AQUA BLOCK</v>
          </cell>
        </row>
        <row r="475">
          <cell r="N475" t="str">
            <v>9072</v>
          </cell>
          <cell r="O475" t="str">
            <v>470</v>
          </cell>
          <cell r="P475" t="str">
            <v>AQUA TONNE</v>
          </cell>
        </row>
        <row r="476">
          <cell r="N476" t="str">
            <v>5013</v>
          </cell>
          <cell r="O476" t="str">
            <v>471</v>
          </cell>
          <cell r="P476" t="str">
            <v>REGADOR ARTEVASI 5L</v>
          </cell>
        </row>
        <row r="477">
          <cell r="N477" t="str">
            <v>5014</v>
          </cell>
          <cell r="O477" t="str">
            <v>472</v>
          </cell>
          <cell r="P477" t="str">
            <v>REGADOR ARTEVASI 10L</v>
          </cell>
        </row>
        <row r="478">
          <cell r="N478" t="str">
            <v>5021</v>
          </cell>
          <cell r="O478" t="str">
            <v>473</v>
          </cell>
          <cell r="P478" t="str">
            <v>PONTEIRA REGADOR MONDEGO</v>
          </cell>
        </row>
        <row r="479">
          <cell r="N479" t="str">
            <v>5921</v>
          </cell>
          <cell r="O479" t="str">
            <v>474</v>
          </cell>
          <cell r="P479" t="str">
            <v>FLUTUADOR CUBE TYPE2</v>
          </cell>
        </row>
        <row r="480">
          <cell r="N480" t="str">
            <v>9242</v>
          </cell>
          <cell r="O480" t="str">
            <v>474</v>
          </cell>
        </row>
        <row r="481">
          <cell r="N481" t="str">
            <v>9009</v>
          </cell>
          <cell r="O481" t="str">
            <v>475</v>
          </cell>
          <cell r="P481" t="str">
            <v>BOION P 500</v>
          </cell>
        </row>
        <row r="482">
          <cell r="N482" t="str">
            <v>9010</v>
          </cell>
          <cell r="O482" t="str">
            <v>476</v>
          </cell>
          <cell r="P482" t="str">
            <v>BOION P 1000</v>
          </cell>
        </row>
        <row r="483">
          <cell r="N483" t="str">
            <v>1286</v>
          </cell>
          <cell r="O483" t="str">
            <v>477</v>
          </cell>
          <cell r="P483" t="str">
            <v>EXP</v>
          </cell>
        </row>
        <row r="484">
          <cell r="N484" t="str">
            <v>1027</v>
          </cell>
          <cell r="O484" t="str">
            <v>478</v>
          </cell>
          <cell r="P484" t="str">
            <v>FRASCO AGRO 0,250L  (NOVO MODELO)</v>
          </cell>
        </row>
        <row r="485">
          <cell r="N485" t="str">
            <v>1028</v>
          </cell>
          <cell r="O485" t="str">
            <v>479</v>
          </cell>
          <cell r="P485" t="str">
            <v>FRASCO AGRO 0,500L  (NOVO MODELO)</v>
          </cell>
        </row>
        <row r="486">
          <cell r="N486" t="str">
            <v>9011</v>
          </cell>
          <cell r="O486" t="str">
            <v>480</v>
          </cell>
          <cell r="P486" t="str">
            <v>REBATIVEL</v>
          </cell>
        </row>
        <row r="487">
          <cell r="N487" t="str">
            <v>9243</v>
          </cell>
          <cell r="O487" t="str">
            <v>481</v>
          </cell>
          <cell r="P487" t="str">
            <v>BOION P 2000</v>
          </cell>
        </row>
        <row r="488">
          <cell r="N488" t="str">
            <v>9244</v>
          </cell>
          <cell r="O488" t="str">
            <v>482</v>
          </cell>
          <cell r="P488" t="str">
            <v>X "Exatin"</v>
          </cell>
        </row>
        <row r="489">
          <cell r="N489" t="str">
            <v>9245</v>
          </cell>
          <cell r="O489" t="str">
            <v>483</v>
          </cell>
          <cell r="P489" t="str">
            <v>DEPOSITO PULVERIZADOR 5L</v>
          </cell>
        </row>
        <row r="490">
          <cell r="N490" t="str">
            <v>9246</v>
          </cell>
          <cell r="O490" t="str">
            <v>484</v>
          </cell>
          <cell r="P490" t="str">
            <v>DEPOSITO PULVERIZADOR 8L</v>
          </cell>
        </row>
        <row r="491">
          <cell r="N491" t="str">
            <v>9247</v>
          </cell>
          <cell r="O491" t="str">
            <v>485</v>
          </cell>
          <cell r="P491" t="str">
            <v>AQUABLOCK</v>
          </cell>
        </row>
        <row r="492">
          <cell r="N492" t="str">
            <v>9248</v>
          </cell>
          <cell r="O492" t="str">
            <v>486</v>
          </cell>
          <cell r="P492" t="str">
            <v>X "Exatin"</v>
          </cell>
        </row>
        <row r="493">
          <cell r="N493" t="str">
            <v>9332</v>
          </cell>
          <cell r="O493" t="str">
            <v>487</v>
          </cell>
          <cell r="P493" t="str">
            <v>BALDE PROMOPLAST 20L</v>
          </cell>
        </row>
        <row r="494">
          <cell r="N494" t="str">
            <v>5022</v>
          </cell>
          <cell r="O494" t="str">
            <v>488</v>
          </cell>
          <cell r="P494" t="str">
            <v>BASE DEPOSITO PULVERIZADOR</v>
          </cell>
        </row>
        <row r="495">
          <cell r="N495" t="str">
            <v>9333</v>
          </cell>
          <cell r="O495" t="str">
            <v>489</v>
          </cell>
          <cell r="P495" t="str">
            <v>BALDE PROMOPLAST 12L</v>
          </cell>
        </row>
        <row r="496">
          <cell r="N496" t="str">
            <v>9334</v>
          </cell>
          <cell r="O496" t="str">
            <v>490</v>
          </cell>
          <cell r="P496" t="str">
            <v>BALDE PROMOPLAST 5L</v>
          </cell>
        </row>
        <row r="497">
          <cell r="N497" t="str">
            <v>5025</v>
          </cell>
          <cell r="O497" t="str">
            <v>491</v>
          </cell>
          <cell r="P497" t="str">
            <v>AMAZONAS 1,5L</v>
          </cell>
        </row>
        <row r="498">
          <cell r="N498" t="str">
            <v>5026</v>
          </cell>
          <cell r="O498" t="str">
            <v>492</v>
          </cell>
          <cell r="P498" t="str">
            <v>AMAZONAS 3L</v>
          </cell>
        </row>
        <row r="499">
          <cell r="N499" t="str">
            <v>5027</v>
          </cell>
          <cell r="O499" t="str">
            <v>493</v>
          </cell>
          <cell r="P499" t="str">
            <v>AMAZONAS 5L</v>
          </cell>
        </row>
        <row r="500">
          <cell r="N500" t="str">
            <v>9249</v>
          </cell>
          <cell r="O500" t="str">
            <v>494</v>
          </cell>
          <cell r="P500" t="str">
            <v>X "Exatin"</v>
          </cell>
        </row>
        <row r="501">
          <cell r="N501" t="str">
            <v>5024</v>
          </cell>
          <cell r="O501" t="str">
            <v>495</v>
          </cell>
          <cell r="P501" t="str">
            <v>PONTEIRA REGADOR AMAZONAS</v>
          </cell>
        </row>
        <row r="502">
          <cell r="N502" t="str">
            <v>9335</v>
          </cell>
          <cell r="O502" t="str">
            <v>495</v>
          </cell>
          <cell r="P502" t="str">
            <v>BALDE PROMOPLAST 3,8L</v>
          </cell>
        </row>
        <row r="503">
          <cell r="N503" t="str">
            <v>5922</v>
          </cell>
          <cell r="O503" t="str">
            <v>496</v>
          </cell>
          <cell r="P503" t="str">
            <v>PERNO FLUTUADOR 5921</v>
          </cell>
        </row>
        <row r="504">
          <cell r="N504" t="str">
            <v>9250</v>
          </cell>
          <cell r="O504" t="str">
            <v>497</v>
          </cell>
          <cell r="P504" t="str">
            <v>PULVERIZADOR 1,5L</v>
          </cell>
        </row>
        <row r="505">
          <cell r="N505" t="str">
            <v>9336</v>
          </cell>
          <cell r="O505" t="str">
            <v>498</v>
          </cell>
          <cell r="P505" t="str">
            <v>BALDE PROMOPLAST 3L</v>
          </cell>
        </row>
        <row r="506">
          <cell r="N506" t="str">
            <v>5079</v>
          </cell>
          <cell r="O506" t="str">
            <v>499</v>
          </cell>
          <cell r="P506" t="str">
            <v>NOVA LAMELA</v>
          </cell>
        </row>
        <row r="507">
          <cell r="N507" t="str">
            <v>5923</v>
          </cell>
          <cell r="O507" t="str">
            <v>500</v>
          </cell>
          <cell r="P507" t="str">
            <v>FRASCO 1L BESA</v>
          </cell>
        </row>
        <row r="508">
          <cell r="N508" t="str">
            <v>9337</v>
          </cell>
          <cell r="O508" t="str">
            <v>501</v>
          </cell>
          <cell r="P508" t="str">
            <v>R (RIEKE) K36/1 SKCRC</v>
          </cell>
        </row>
        <row r="509">
          <cell r="N509" t="str">
            <v>9338</v>
          </cell>
          <cell r="O509" t="str">
            <v>502</v>
          </cell>
          <cell r="P509" t="str">
            <v>R (RIEKE) K36/SK</v>
          </cell>
        </row>
        <row r="510">
          <cell r="N510" t="str">
            <v>5907</v>
          </cell>
          <cell r="O510" t="str">
            <v>503</v>
          </cell>
          <cell r="P510" t="str">
            <v>BASE P/ GUARDA SOL 17L</v>
          </cell>
        </row>
        <row r="511">
          <cell r="N511" t="str">
            <v>0606</v>
          </cell>
          <cell r="O511" t="str">
            <v>505</v>
          </cell>
          <cell r="P511" t="str">
            <v>ASA GARRAFÃO 2007</v>
          </cell>
        </row>
        <row r="512">
          <cell r="N512" t="str">
            <v>5936</v>
          </cell>
          <cell r="O512" t="str">
            <v>506</v>
          </cell>
          <cell r="P512" t="str">
            <v>FRASCO 0,5L BESA TAMPA TR45/32</v>
          </cell>
        </row>
        <row r="513">
          <cell r="N513" t="str">
            <v>9251</v>
          </cell>
          <cell r="O513" t="str">
            <v>507</v>
          </cell>
          <cell r="P513" t="str">
            <v>TAMPA 60 NIFCO</v>
          </cell>
        </row>
        <row r="514">
          <cell r="N514" t="str">
            <v>9252</v>
          </cell>
          <cell r="O514" t="str">
            <v>508</v>
          </cell>
          <cell r="P514" t="str">
            <v>IM (IMTO)</v>
          </cell>
        </row>
        <row r="515">
          <cell r="N515" t="str">
            <v>5924</v>
          </cell>
          <cell r="O515" t="str">
            <v>509</v>
          </cell>
          <cell r="P515" t="str">
            <v>BUBBLEDECK 225mm</v>
          </cell>
        </row>
        <row r="516">
          <cell r="N516" t="str">
            <v>9339</v>
          </cell>
          <cell r="O516" t="str">
            <v>510</v>
          </cell>
          <cell r="P516" t="str">
            <v>CELHA 40L</v>
          </cell>
        </row>
        <row r="517">
          <cell r="N517" t="str">
            <v>9340</v>
          </cell>
          <cell r="O517" t="str">
            <v>511</v>
          </cell>
          <cell r="P517" t="str">
            <v>CELHA 55L</v>
          </cell>
        </row>
        <row r="518">
          <cell r="N518" t="str">
            <v>9341</v>
          </cell>
          <cell r="O518" t="str">
            <v>512</v>
          </cell>
          <cell r="P518" t="str">
            <v>BALDE 17L</v>
          </cell>
        </row>
        <row r="519">
          <cell r="N519" t="str">
            <v>9342</v>
          </cell>
          <cell r="O519" t="str">
            <v>513</v>
          </cell>
          <cell r="P519" t="str">
            <v>TAMPA NIFCO</v>
          </cell>
        </row>
        <row r="520">
          <cell r="N520" t="str">
            <v>9343</v>
          </cell>
          <cell r="O520" t="str">
            <v>514</v>
          </cell>
          <cell r="P520" t="str">
            <v>CELHA FLEXIVEL 42L</v>
          </cell>
        </row>
        <row r="521">
          <cell r="N521" t="str">
            <v>0493</v>
          </cell>
          <cell r="O521" t="str">
            <v>515</v>
          </cell>
          <cell r="P521" t="str">
            <v>PEÇA INTERIOR FIXAÇÃO LAMELA</v>
          </cell>
        </row>
        <row r="522">
          <cell r="N522" t="str">
            <v>0555</v>
          </cell>
          <cell r="O522" t="str">
            <v>516</v>
          </cell>
          <cell r="P522" t="str">
            <v>ARO PLASTICO</v>
          </cell>
        </row>
        <row r="523">
          <cell r="N523" t="str">
            <v>1041</v>
          </cell>
          <cell r="O523" t="str">
            <v>516</v>
          </cell>
          <cell r="P523" t="str">
            <v>FRASCO DETERGENTE 3L</v>
          </cell>
        </row>
        <row r="524">
          <cell r="N524" t="str">
            <v>5031</v>
          </cell>
          <cell r="O524" t="str">
            <v>517</v>
          </cell>
          <cell r="P524" t="str">
            <v>DEPOSITO 1,5L IK REF:81771301</v>
          </cell>
        </row>
        <row r="525">
          <cell r="N525" t="str">
            <v>9253</v>
          </cell>
          <cell r="O525" t="str">
            <v>518</v>
          </cell>
          <cell r="P525" t="str">
            <v>SP05R</v>
          </cell>
        </row>
        <row r="526">
          <cell r="N526" t="str">
            <v>5926</v>
          </cell>
          <cell r="O526" t="str">
            <v>519</v>
          </cell>
          <cell r="P526" t="str">
            <v>LUSO BOTTLE 1L</v>
          </cell>
        </row>
        <row r="527">
          <cell r="N527" t="str">
            <v>5927</v>
          </cell>
          <cell r="O527" t="str">
            <v>520</v>
          </cell>
          <cell r="P527" t="str">
            <v>LUSO BOTTLE 2,5L</v>
          </cell>
        </row>
        <row r="528">
          <cell r="N528" t="str">
            <v>5928</v>
          </cell>
          <cell r="O528" t="str">
            <v>521</v>
          </cell>
          <cell r="P528" t="str">
            <v>LUSO BOTTLE 5L</v>
          </cell>
        </row>
        <row r="529">
          <cell r="N529" t="str">
            <v>9254</v>
          </cell>
          <cell r="O529" t="str">
            <v>522</v>
          </cell>
          <cell r="P529" t="str">
            <v>20L Moldra</v>
          </cell>
        </row>
        <row r="530">
          <cell r="N530" t="str">
            <v>9255</v>
          </cell>
          <cell r="O530" t="str">
            <v>523</v>
          </cell>
          <cell r="P530" t="str">
            <v>5L Moldra</v>
          </cell>
        </row>
        <row r="531">
          <cell r="N531" t="str">
            <v>P001</v>
          </cell>
          <cell r="O531" t="str">
            <v>524</v>
          </cell>
          <cell r="P531" t="str">
            <v>GARRAFA 1L PET</v>
          </cell>
        </row>
        <row r="532">
          <cell r="N532" t="str">
            <v>P002</v>
          </cell>
          <cell r="O532" t="str">
            <v>525</v>
          </cell>
          <cell r="P532" t="str">
            <v>GARRAFA 2L PET</v>
          </cell>
        </row>
        <row r="533">
          <cell r="N533" t="str">
            <v>P003</v>
          </cell>
          <cell r="O533" t="str">
            <v>526</v>
          </cell>
          <cell r="P533" t="str">
            <v>GARRAFA 3L PET</v>
          </cell>
        </row>
        <row r="534">
          <cell r="N534" t="str">
            <v>P004</v>
          </cell>
          <cell r="O534" t="str">
            <v>527</v>
          </cell>
          <cell r="P534" t="str">
            <v>GARRAFÃO 5L PET</v>
          </cell>
        </row>
        <row r="535">
          <cell r="N535" t="str">
            <v>P005</v>
          </cell>
          <cell r="O535" t="str">
            <v>528</v>
          </cell>
          <cell r="P535" t="str">
            <v>GARRAFÃO 5L PET</v>
          </cell>
        </row>
        <row r="536">
          <cell r="N536" t="str">
            <v>P006</v>
          </cell>
          <cell r="O536" t="str">
            <v>529</v>
          </cell>
          <cell r="P536" t="str">
            <v>GARRAFÃO 5L PET</v>
          </cell>
        </row>
        <row r="537">
          <cell r="N537" t="str">
            <v>P007</v>
          </cell>
          <cell r="O537" t="str">
            <v>530</v>
          </cell>
          <cell r="P537" t="str">
            <v>GARRAFÃO 5L PET</v>
          </cell>
        </row>
        <row r="538">
          <cell r="N538" t="str">
            <v>P008</v>
          </cell>
          <cell r="O538" t="str">
            <v>531</v>
          </cell>
          <cell r="P538" t="str">
            <v>GARRAFÃO 5L PET</v>
          </cell>
        </row>
        <row r="539">
          <cell r="N539" t="str">
            <v>P009</v>
          </cell>
          <cell r="O539" t="str">
            <v>532</v>
          </cell>
          <cell r="P539" t="str">
            <v>GARRAFÃO 5L PET</v>
          </cell>
        </row>
        <row r="540">
          <cell r="N540" t="str">
            <v>P010</v>
          </cell>
          <cell r="O540" t="str">
            <v>533</v>
          </cell>
          <cell r="P540" t="str">
            <v>GARRAFÃO 5L PET</v>
          </cell>
        </row>
        <row r="541">
          <cell r="N541" t="str">
            <v>P011</v>
          </cell>
          <cell r="O541" t="str">
            <v>534</v>
          </cell>
          <cell r="P541" t="str">
            <v>GARRAFÃO 3L PET</v>
          </cell>
        </row>
        <row r="542">
          <cell r="N542" t="str">
            <v>PF01</v>
          </cell>
          <cell r="O542" t="str">
            <v>535</v>
          </cell>
          <cell r="P542" t="str">
            <v>ALT. 108mm</v>
          </cell>
        </row>
        <row r="543">
          <cell r="N543" t="str">
            <v>PF02</v>
          </cell>
          <cell r="O543" t="str">
            <v>536</v>
          </cell>
          <cell r="P543" t="str">
            <v>ALT. 127mm</v>
          </cell>
        </row>
        <row r="544">
          <cell r="N544" t="str">
            <v>PF03</v>
          </cell>
          <cell r="O544" t="str">
            <v>537</v>
          </cell>
          <cell r="P544" t="str">
            <v>ALT. 149mm</v>
          </cell>
        </row>
        <row r="545">
          <cell r="N545" t="str">
            <v>PF04</v>
          </cell>
          <cell r="O545" t="str">
            <v>538</v>
          </cell>
          <cell r="P545" t="str">
            <v>ALT. 173mm</v>
          </cell>
        </row>
        <row r="546">
          <cell r="N546" t="str">
            <v>9344</v>
          </cell>
          <cell r="O546" t="str">
            <v>539</v>
          </cell>
          <cell r="P546" t="str">
            <v>ASA GARRAFÃO PET Ø38</v>
          </cell>
        </row>
        <row r="547">
          <cell r="N547" t="str">
            <v>9345</v>
          </cell>
          <cell r="O547" t="str">
            <v>540</v>
          </cell>
          <cell r="P547" t="str">
            <v>ASA GARRAFÃO PET ERGONOMICA Ø38</v>
          </cell>
        </row>
        <row r="548">
          <cell r="N548" t="str">
            <v>9346</v>
          </cell>
          <cell r="O548" t="str">
            <v>541</v>
          </cell>
          <cell r="P548" t="str">
            <v>MONOPEÇA Ø42</v>
          </cell>
        </row>
        <row r="549">
          <cell r="N549" t="str">
            <v>9347</v>
          </cell>
          <cell r="O549" t="str">
            <v>542</v>
          </cell>
          <cell r="P549" t="str">
            <v>BIPEÇA Ø42</v>
          </cell>
        </row>
        <row r="550">
          <cell r="N550" t="str">
            <v>9348</v>
          </cell>
          <cell r="O550" t="str">
            <v>543</v>
          </cell>
          <cell r="P550" t="str">
            <v>MONOPEÇA Ø29/21</v>
          </cell>
        </row>
        <row r="551">
          <cell r="N551" t="str">
            <v>9349</v>
          </cell>
          <cell r="O551" t="str">
            <v>544</v>
          </cell>
          <cell r="P551" t="str">
            <v>"C" Capsol - Doseadora de bico</v>
          </cell>
        </row>
        <row r="552">
          <cell r="N552" t="str">
            <v>5929</v>
          </cell>
          <cell r="O552" t="str">
            <v>545</v>
          </cell>
          <cell r="P552" t="str">
            <v>HITO SERNIS 520mm</v>
          </cell>
        </row>
        <row r="553">
          <cell r="N553" t="str">
            <v>5930</v>
          </cell>
          <cell r="O553" t="str">
            <v>546</v>
          </cell>
          <cell r="P553" t="str">
            <v>HITO SERNIS POTIÇO 720mm</v>
          </cell>
        </row>
        <row r="554">
          <cell r="N554" t="str">
            <v>5931</v>
          </cell>
          <cell r="O554" t="str">
            <v>547</v>
          </cell>
          <cell r="P554" t="str">
            <v>PINO CONICO SERNIS</v>
          </cell>
        </row>
        <row r="555">
          <cell r="N555" t="str">
            <v>5932</v>
          </cell>
          <cell r="O555" t="str">
            <v>548</v>
          </cell>
          <cell r="P555" t="str">
            <v>SINAL SERNIS Ø400mm</v>
          </cell>
        </row>
        <row r="556">
          <cell r="N556" t="str">
            <v>5933</v>
          </cell>
          <cell r="O556" t="str">
            <v>549</v>
          </cell>
          <cell r="P556" t="str">
            <v>SINAL SERNIS Ø600mm</v>
          </cell>
        </row>
        <row r="557">
          <cell r="N557" t="str">
            <v>9256</v>
          </cell>
          <cell r="O557" t="str">
            <v>550</v>
          </cell>
          <cell r="P557" t="str">
            <v>TAMPA SUINSO Ø60</v>
          </cell>
        </row>
        <row r="558">
          <cell r="N558" t="str">
            <v>5934</v>
          </cell>
          <cell r="O558" t="str">
            <v>551</v>
          </cell>
          <cell r="P558" t="str">
            <v>ESTRELA (Moldetipo)</v>
          </cell>
        </row>
        <row r="559">
          <cell r="N559" t="str">
            <v>5935</v>
          </cell>
          <cell r="O559" t="str">
            <v>552</v>
          </cell>
          <cell r="P559" t="str">
            <v>FRASCO NUTRIAMA (Moldetipo)</v>
          </cell>
        </row>
        <row r="560">
          <cell r="N560" t="str">
            <v>5925</v>
          </cell>
          <cell r="O560" t="str">
            <v>553</v>
          </cell>
          <cell r="P560" t="str">
            <v>DEPOSITO BLADDER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_Especificações"/>
    </sheetNames>
    <sheetDataSet>
      <sheetData sheetId="0">
        <row r="2">
          <cell r="B2" t="str">
            <v>Codigo</v>
          </cell>
          <cell r="C2" t="str">
            <v>Codigo bar</v>
          </cell>
          <cell r="D2" t="str">
            <v>10.1</v>
          </cell>
          <cell r="E2" t="str">
            <v>Peso</v>
          </cell>
          <cell r="F2" t="str">
            <v>10.2</v>
          </cell>
          <cell r="G2" t="str">
            <v>Certificações</v>
          </cell>
          <cell r="H2" t="str">
            <v>10.3</v>
          </cell>
          <cell r="I2" t="str">
            <v>Gravação de Cliente</v>
          </cell>
          <cell r="J2" t="str">
            <v>10.4</v>
          </cell>
          <cell r="K2" t="str">
            <v>Autocolante Cliente</v>
          </cell>
          <cell r="L2" t="str">
            <v>10.5</v>
          </cell>
          <cell r="M2" t="str">
            <v>Adaptação</v>
          </cell>
          <cell r="N2" t="str">
            <v>10.6</v>
          </cell>
          <cell r="O2" t="str">
            <v>Caracteristicas Especiais</v>
          </cell>
          <cell r="P2" t="str">
            <v>10.7</v>
          </cell>
          <cell r="Q2" t="str">
            <v>Especificaçõs Bem. Flexível</v>
          </cell>
          <cell r="R2" t="str">
            <v>10.8_Observações</v>
          </cell>
        </row>
        <row r="4">
          <cell r="R4" t="str">
            <v>C\ INSERTO SPOUT PCR 50%</v>
          </cell>
        </row>
        <row r="5">
          <cell r="B5" t="str">
            <v>4458</v>
          </cell>
          <cell r="C5" t="str">
            <v>00458</v>
          </cell>
          <cell r="D5" t="str">
            <v>P34</v>
          </cell>
          <cell r="E5" t="str">
            <v>90G</v>
          </cell>
          <cell r="F5" t="str">
            <v>C19</v>
          </cell>
          <cell r="G5" t="str">
            <v>1H1/Y1,3</v>
          </cell>
          <cell r="I5" t="str">
            <v/>
          </cell>
          <cell r="K5" t="str">
            <v/>
          </cell>
          <cell r="M5" t="str">
            <v/>
          </cell>
          <cell r="O5" t="str">
            <v/>
          </cell>
          <cell r="Q5" t="str">
            <v/>
          </cell>
        </row>
        <row r="6">
          <cell r="B6" t="str">
            <v>A000</v>
          </cell>
          <cell r="C6" t="str">
            <v>00000</v>
          </cell>
          <cell r="E6" t="str">
            <v/>
          </cell>
          <cell r="G6" t="str">
            <v/>
          </cell>
          <cell r="I6" t="str">
            <v/>
          </cell>
          <cell r="K6" t="str">
            <v/>
          </cell>
          <cell r="M6" t="str">
            <v/>
          </cell>
          <cell r="O6" t="str">
            <v/>
          </cell>
          <cell r="Q6" t="str">
            <v/>
          </cell>
        </row>
        <row r="7">
          <cell r="B7" t="str">
            <v>A001</v>
          </cell>
          <cell r="C7" t="str">
            <v>00001</v>
          </cell>
          <cell r="E7" t="str">
            <v/>
          </cell>
          <cell r="F7" t="str">
            <v>C1</v>
          </cell>
          <cell r="G7" t="str">
            <v>3H1/Y1,2</v>
          </cell>
          <cell r="I7" t="str">
            <v/>
          </cell>
          <cell r="K7" t="str">
            <v/>
          </cell>
          <cell r="M7" t="str">
            <v/>
          </cell>
          <cell r="O7" t="str">
            <v/>
          </cell>
          <cell r="Q7" t="str">
            <v/>
          </cell>
        </row>
        <row r="8">
          <cell r="B8" t="str">
            <v>A002</v>
          </cell>
          <cell r="C8" t="str">
            <v>00002</v>
          </cell>
          <cell r="E8" t="str">
            <v/>
          </cell>
          <cell r="G8" t="str">
            <v/>
          </cell>
          <cell r="I8" t="str">
            <v/>
          </cell>
          <cell r="J8" t="str">
            <v>A1</v>
          </cell>
          <cell r="K8" t="str">
            <v>A.LARA CONGELADO</v>
          </cell>
          <cell r="M8" t="str">
            <v/>
          </cell>
          <cell r="O8" t="str">
            <v/>
          </cell>
          <cell r="Q8" t="str">
            <v/>
          </cell>
        </row>
        <row r="9">
          <cell r="B9" t="str">
            <v>A003</v>
          </cell>
          <cell r="C9" t="str">
            <v>00003</v>
          </cell>
          <cell r="E9" t="str">
            <v/>
          </cell>
          <cell r="G9" t="str">
            <v/>
          </cell>
          <cell r="I9" t="str">
            <v/>
          </cell>
          <cell r="J9" t="str">
            <v>A2</v>
          </cell>
          <cell r="K9" t="str">
            <v>A.LARA DESCONGELADO</v>
          </cell>
          <cell r="M9" t="str">
            <v/>
          </cell>
          <cell r="O9" t="str">
            <v/>
          </cell>
          <cell r="Q9" t="str">
            <v/>
          </cell>
        </row>
        <row r="10">
          <cell r="B10" t="str">
            <v>A004</v>
          </cell>
          <cell r="C10" t="str">
            <v>00004</v>
          </cell>
          <cell r="D10" t="str">
            <v>P3</v>
          </cell>
          <cell r="E10" t="str">
            <v>1200G</v>
          </cell>
          <cell r="G10" t="str">
            <v/>
          </cell>
          <cell r="I10" t="str">
            <v/>
          </cell>
          <cell r="K10" t="str">
            <v/>
          </cell>
          <cell r="M10" t="str">
            <v/>
          </cell>
          <cell r="O10" t="str">
            <v/>
          </cell>
          <cell r="Q10" t="str">
            <v/>
          </cell>
        </row>
        <row r="11">
          <cell r="B11" t="str">
            <v>A005</v>
          </cell>
          <cell r="C11" t="str">
            <v>00005</v>
          </cell>
          <cell r="D11" t="str">
            <v>P2</v>
          </cell>
          <cell r="E11" t="str">
            <v>1100G</v>
          </cell>
          <cell r="G11" t="str">
            <v/>
          </cell>
          <cell r="I11" t="str">
            <v/>
          </cell>
          <cell r="K11" t="str">
            <v/>
          </cell>
          <cell r="M11" t="str">
            <v/>
          </cell>
          <cell r="O11" t="str">
            <v/>
          </cell>
          <cell r="Q11" t="str">
            <v/>
          </cell>
        </row>
        <row r="12">
          <cell r="B12" t="str">
            <v>A006</v>
          </cell>
          <cell r="C12" t="str">
            <v>00006</v>
          </cell>
          <cell r="D12" t="str">
            <v>P1</v>
          </cell>
          <cell r="E12" t="str">
            <v>1000G</v>
          </cell>
          <cell r="G12" t="str">
            <v/>
          </cell>
          <cell r="I12" t="str">
            <v/>
          </cell>
          <cell r="K12" t="str">
            <v/>
          </cell>
          <cell r="M12" t="str">
            <v/>
          </cell>
          <cell r="O12" t="str">
            <v/>
          </cell>
          <cell r="Q12" t="str">
            <v/>
          </cell>
        </row>
        <row r="13">
          <cell r="B13" t="str">
            <v>A007</v>
          </cell>
          <cell r="C13" t="str">
            <v>00007</v>
          </cell>
          <cell r="D13" t="str">
            <v>P2</v>
          </cell>
          <cell r="E13" t="str">
            <v>1100G</v>
          </cell>
          <cell r="G13" t="str">
            <v/>
          </cell>
          <cell r="H13" t="str">
            <v>G1</v>
          </cell>
          <cell r="I13" t="str">
            <v>G.CARVIDET</v>
          </cell>
          <cell r="K13" t="str">
            <v/>
          </cell>
          <cell r="M13" t="str">
            <v/>
          </cell>
          <cell r="O13" t="str">
            <v/>
          </cell>
          <cell r="Q13" t="str">
            <v/>
          </cell>
        </row>
        <row r="14">
          <cell r="B14" t="str">
            <v>A008</v>
          </cell>
          <cell r="C14" t="str">
            <v>00008</v>
          </cell>
          <cell r="D14" t="str">
            <v>P4</v>
          </cell>
          <cell r="E14" t="str">
            <v>1250G</v>
          </cell>
          <cell r="G14" t="str">
            <v/>
          </cell>
          <cell r="I14" t="str">
            <v/>
          </cell>
          <cell r="K14" t="str">
            <v/>
          </cell>
          <cell r="M14" t="str">
            <v/>
          </cell>
          <cell r="O14" t="str">
            <v/>
          </cell>
          <cell r="Q14" t="str">
            <v/>
          </cell>
        </row>
        <row r="15">
          <cell r="B15" t="str">
            <v>A009</v>
          </cell>
          <cell r="C15" t="str">
            <v>00009</v>
          </cell>
          <cell r="D15" t="str">
            <v>P9</v>
          </cell>
          <cell r="E15" t="str">
            <v>150G</v>
          </cell>
          <cell r="F15" t="str">
            <v>C1</v>
          </cell>
          <cell r="G15" t="str">
            <v>3H1/Y1,2</v>
          </cell>
          <cell r="I15" t="str">
            <v/>
          </cell>
          <cell r="K15" t="str">
            <v/>
          </cell>
          <cell r="M15" t="str">
            <v/>
          </cell>
          <cell r="O15" t="str">
            <v/>
          </cell>
          <cell r="Q15" t="str">
            <v/>
          </cell>
        </row>
        <row r="16">
          <cell r="B16" t="str">
            <v>A010</v>
          </cell>
          <cell r="C16" t="str">
            <v>00010</v>
          </cell>
          <cell r="D16" t="str">
            <v>P10</v>
          </cell>
          <cell r="E16" t="str">
            <v>160G</v>
          </cell>
          <cell r="G16" t="str">
            <v/>
          </cell>
          <cell r="I16" t="str">
            <v/>
          </cell>
          <cell r="K16" t="str">
            <v/>
          </cell>
          <cell r="M16" t="str">
            <v/>
          </cell>
          <cell r="O16" t="str">
            <v/>
          </cell>
          <cell r="Q16" t="str">
            <v/>
          </cell>
        </row>
        <row r="17">
          <cell r="B17" t="str">
            <v>A011</v>
          </cell>
          <cell r="C17" t="str">
            <v>00011</v>
          </cell>
          <cell r="D17" t="str">
            <v>P7</v>
          </cell>
          <cell r="E17" t="str">
            <v>1400G</v>
          </cell>
          <cell r="F17" t="str">
            <v>C2</v>
          </cell>
          <cell r="G17" t="str">
            <v>3H1/Y1,4</v>
          </cell>
          <cell r="I17" t="str">
            <v/>
          </cell>
          <cell r="K17" t="str">
            <v/>
          </cell>
          <cell r="M17" t="str">
            <v/>
          </cell>
          <cell r="O17" t="str">
            <v/>
          </cell>
          <cell r="Q17" t="str">
            <v/>
          </cell>
        </row>
        <row r="18">
          <cell r="B18" t="str">
            <v>A012</v>
          </cell>
          <cell r="C18" t="str">
            <v>00012</v>
          </cell>
          <cell r="E18" t="str">
            <v/>
          </cell>
          <cell r="F18" t="str">
            <v>C2</v>
          </cell>
          <cell r="G18" t="str">
            <v>3H1/Y1,4</v>
          </cell>
          <cell r="I18" t="str">
            <v/>
          </cell>
          <cell r="K18" t="str">
            <v/>
          </cell>
          <cell r="M18" t="str">
            <v/>
          </cell>
          <cell r="O18" t="str">
            <v/>
          </cell>
          <cell r="Q18" t="str">
            <v/>
          </cell>
        </row>
        <row r="19">
          <cell r="B19" t="str">
            <v>A013</v>
          </cell>
          <cell r="C19" t="str">
            <v>00013</v>
          </cell>
          <cell r="D19" t="str">
            <v>P5</v>
          </cell>
          <cell r="E19" t="str">
            <v>1300G</v>
          </cell>
          <cell r="G19" t="str">
            <v/>
          </cell>
          <cell r="I19" t="str">
            <v/>
          </cell>
          <cell r="K19" t="str">
            <v/>
          </cell>
          <cell r="M19" t="str">
            <v/>
          </cell>
          <cell r="O19" t="str">
            <v/>
          </cell>
          <cell r="Q19" t="str">
            <v/>
          </cell>
        </row>
        <row r="20">
          <cell r="B20" t="str">
            <v>A014</v>
          </cell>
          <cell r="C20" t="str">
            <v>00014</v>
          </cell>
          <cell r="E20" t="str">
            <v/>
          </cell>
          <cell r="F20" t="str">
            <v>C4</v>
          </cell>
          <cell r="G20" t="str">
            <v>3H1/Y1,9</v>
          </cell>
          <cell r="I20" t="str">
            <v/>
          </cell>
          <cell r="K20" t="str">
            <v/>
          </cell>
          <cell r="M20" t="str">
            <v/>
          </cell>
          <cell r="O20" t="str">
            <v/>
          </cell>
          <cell r="Q20" t="str">
            <v/>
          </cell>
        </row>
        <row r="21">
          <cell r="B21" t="str">
            <v>A015</v>
          </cell>
          <cell r="C21" t="str">
            <v>00015</v>
          </cell>
          <cell r="D21" t="str">
            <v>P6</v>
          </cell>
          <cell r="E21" t="str">
            <v>130G</v>
          </cell>
          <cell r="G21" t="str">
            <v/>
          </cell>
          <cell r="I21" t="str">
            <v/>
          </cell>
          <cell r="K21" t="str">
            <v/>
          </cell>
          <cell r="M21" t="str">
            <v/>
          </cell>
          <cell r="O21" t="str">
            <v/>
          </cell>
          <cell r="Q21" t="str">
            <v/>
          </cell>
        </row>
        <row r="22">
          <cell r="B22" t="str">
            <v>A016</v>
          </cell>
          <cell r="C22" t="str">
            <v>00016</v>
          </cell>
          <cell r="D22" t="str">
            <v>P12</v>
          </cell>
          <cell r="E22" t="str">
            <v>180G</v>
          </cell>
          <cell r="F22" t="str">
            <v>C4</v>
          </cell>
          <cell r="G22" t="str">
            <v>3H1/Y1,9</v>
          </cell>
          <cell r="I22" t="str">
            <v/>
          </cell>
          <cell r="K22" t="str">
            <v/>
          </cell>
          <cell r="M22" t="str">
            <v/>
          </cell>
          <cell r="O22" t="str">
            <v/>
          </cell>
          <cell r="Q22" t="str">
            <v/>
          </cell>
        </row>
        <row r="23">
          <cell r="B23" t="str">
            <v>A017</v>
          </cell>
          <cell r="C23" t="str">
            <v>00017</v>
          </cell>
          <cell r="E23" t="str">
            <v/>
          </cell>
          <cell r="F23" t="str">
            <v>C2</v>
          </cell>
          <cell r="G23" t="str">
            <v>3H1/Y1,4</v>
          </cell>
          <cell r="I23" t="str">
            <v/>
          </cell>
          <cell r="K23" t="str">
            <v/>
          </cell>
          <cell r="L23" t="str">
            <v>01</v>
          </cell>
          <cell r="M23" t="str">
            <v>P/T</v>
          </cell>
          <cell r="O23" t="str">
            <v/>
          </cell>
          <cell r="Q23" t="str">
            <v/>
          </cell>
        </row>
        <row r="24">
          <cell r="B24" t="str">
            <v>A018</v>
          </cell>
          <cell r="C24" t="str">
            <v>00018</v>
          </cell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L24" t="str">
            <v>01</v>
          </cell>
          <cell r="M24" t="str">
            <v>P/T</v>
          </cell>
          <cell r="O24" t="str">
            <v/>
          </cell>
          <cell r="Q24" t="str">
            <v/>
          </cell>
        </row>
        <row r="25">
          <cell r="B25" t="str">
            <v>A019</v>
          </cell>
          <cell r="C25" t="str">
            <v>00019</v>
          </cell>
          <cell r="D25" t="str">
            <v>P7</v>
          </cell>
          <cell r="E25" t="str">
            <v>1400G</v>
          </cell>
          <cell r="G25" t="str">
            <v/>
          </cell>
          <cell r="I25" t="str">
            <v/>
          </cell>
          <cell r="K25" t="str">
            <v/>
          </cell>
          <cell r="M25" t="str">
            <v/>
          </cell>
          <cell r="O25" t="str">
            <v/>
          </cell>
          <cell r="Q25" t="str">
            <v/>
          </cell>
        </row>
        <row r="26">
          <cell r="B26" t="str">
            <v>A020</v>
          </cell>
          <cell r="C26" t="str">
            <v>00020</v>
          </cell>
          <cell r="E26" t="str">
            <v/>
          </cell>
          <cell r="F26" t="str">
            <v>C6</v>
          </cell>
          <cell r="G26" t="str">
            <v>3H1/Y1,55</v>
          </cell>
          <cell r="I26" t="str">
            <v/>
          </cell>
          <cell r="K26" t="str">
            <v/>
          </cell>
          <cell r="L26" t="str">
            <v>02</v>
          </cell>
          <cell r="M26" t="str">
            <v>ASA</v>
          </cell>
          <cell r="O26" t="str">
            <v/>
          </cell>
          <cell r="Q26" t="str">
            <v/>
          </cell>
        </row>
        <row r="27">
          <cell r="B27" t="str">
            <v>A021</v>
          </cell>
          <cell r="C27" t="str">
            <v>00021</v>
          </cell>
          <cell r="E27" t="str">
            <v/>
          </cell>
          <cell r="F27" t="str">
            <v>C6</v>
          </cell>
          <cell r="G27" t="str">
            <v>3H1/Y1,55</v>
          </cell>
          <cell r="H27" t="str">
            <v>G3</v>
          </cell>
          <cell r="I27" t="str">
            <v>G.CRIMOLARA</v>
          </cell>
          <cell r="K27" t="str">
            <v/>
          </cell>
          <cell r="L27" t="str">
            <v>02</v>
          </cell>
          <cell r="M27" t="str">
            <v>ASA</v>
          </cell>
          <cell r="O27" t="str">
            <v/>
          </cell>
          <cell r="Q27" t="str">
            <v/>
          </cell>
        </row>
        <row r="28">
          <cell r="B28" t="str">
            <v>A022</v>
          </cell>
          <cell r="C28" t="str">
            <v>00022</v>
          </cell>
          <cell r="E28" t="str">
            <v/>
          </cell>
          <cell r="F28" t="str">
            <v>C5</v>
          </cell>
          <cell r="G28" t="str">
            <v>1H1/Y1,6</v>
          </cell>
          <cell r="I28" t="str">
            <v/>
          </cell>
          <cell r="K28" t="str">
            <v/>
          </cell>
          <cell r="L28" t="str">
            <v>04</v>
          </cell>
          <cell r="M28" t="str">
            <v>P/T ASA</v>
          </cell>
          <cell r="O28" t="str">
            <v/>
          </cell>
          <cell r="Q28" t="str">
            <v/>
          </cell>
        </row>
        <row r="29">
          <cell r="B29" t="str">
            <v>A023</v>
          </cell>
          <cell r="C29" t="str">
            <v>00023</v>
          </cell>
          <cell r="E29" t="str">
            <v/>
          </cell>
          <cell r="F29" t="str">
            <v>C5</v>
          </cell>
          <cell r="G29" t="str">
            <v>1H1/Y1,6</v>
          </cell>
          <cell r="H29" t="str">
            <v>G4</v>
          </cell>
          <cell r="I29" t="str">
            <v>G.UNIDETE</v>
          </cell>
          <cell r="K29" t="str">
            <v/>
          </cell>
          <cell r="L29" t="str">
            <v>04</v>
          </cell>
          <cell r="M29" t="str">
            <v>P/T ASA</v>
          </cell>
          <cell r="O29" t="str">
            <v/>
          </cell>
          <cell r="Q29" t="str">
            <v/>
          </cell>
        </row>
        <row r="30">
          <cell r="B30" t="str">
            <v>A024</v>
          </cell>
          <cell r="C30" t="str">
            <v>00024</v>
          </cell>
          <cell r="E30" t="str">
            <v/>
          </cell>
          <cell r="G30" t="str">
            <v/>
          </cell>
          <cell r="I30" t="str">
            <v/>
          </cell>
          <cell r="K30" t="str">
            <v/>
          </cell>
          <cell r="L30" t="str">
            <v>05</v>
          </cell>
          <cell r="M30" t="str">
            <v>P/T CAV</v>
          </cell>
          <cell r="O30" t="str">
            <v/>
          </cell>
          <cell r="Q30" t="str">
            <v/>
          </cell>
        </row>
        <row r="31">
          <cell r="B31" t="str">
            <v>A025</v>
          </cell>
          <cell r="C31" t="str">
            <v>00025</v>
          </cell>
          <cell r="E31" t="str">
            <v/>
          </cell>
          <cell r="G31" t="str">
            <v/>
          </cell>
          <cell r="I31" t="str">
            <v/>
          </cell>
          <cell r="K31" t="str">
            <v/>
          </cell>
          <cell r="L31" t="str">
            <v>06</v>
          </cell>
          <cell r="M31" t="str">
            <v>P/T 1"" CAV</v>
          </cell>
          <cell r="O31" t="str">
            <v/>
          </cell>
          <cell r="Q31" t="str">
            <v/>
          </cell>
        </row>
        <row r="32">
          <cell r="B32" t="str">
            <v>A026</v>
          </cell>
          <cell r="C32" t="str">
            <v>00026</v>
          </cell>
          <cell r="E32" t="str">
            <v/>
          </cell>
          <cell r="G32" t="str">
            <v/>
          </cell>
          <cell r="I32" t="str">
            <v/>
          </cell>
          <cell r="K32" t="str">
            <v/>
          </cell>
          <cell r="L32" t="str">
            <v>02</v>
          </cell>
          <cell r="M32" t="str">
            <v>ASA</v>
          </cell>
          <cell r="O32" t="str">
            <v/>
          </cell>
          <cell r="Q32" t="str">
            <v/>
          </cell>
        </row>
        <row r="33">
          <cell r="B33" t="str">
            <v>A027</v>
          </cell>
          <cell r="C33" t="str">
            <v>00027</v>
          </cell>
          <cell r="E33" t="str">
            <v/>
          </cell>
          <cell r="G33" t="str">
            <v/>
          </cell>
          <cell r="H33" t="str">
            <v>G5</v>
          </cell>
          <cell r="I33" t="str">
            <v>G.SERCAÇA</v>
          </cell>
          <cell r="K33" t="str">
            <v/>
          </cell>
          <cell r="L33" t="str">
            <v>02</v>
          </cell>
          <cell r="M33" t="str">
            <v>ASA</v>
          </cell>
          <cell r="O33" t="str">
            <v/>
          </cell>
          <cell r="Q33" t="str">
            <v/>
          </cell>
        </row>
        <row r="34">
          <cell r="B34" t="str">
            <v>A028</v>
          </cell>
          <cell r="C34" t="str">
            <v>00028</v>
          </cell>
          <cell r="E34" t="str">
            <v/>
          </cell>
          <cell r="G34" t="str">
            <v/>
          </cell>
          <cell r="I34" t="str">
            <v/>
          </cell>
          <cell r="K34" t="str">
            <v/>
          </cell>
          <cell r="L34" t="str">
            <v>03</v>
          </cell>
          <cell r="M34" t="str">
            <v>CAV</v>
          </cell>
          <cell r="O34" t="str">
            <v/>
          </cell>
          <cell r="Q34" t="str">
            <v/>
          </cell>
        </row>
        <row r="35">
          <cell r="B35" t="str">
            <v>A029</v>
          </cell>
          <cell r="C35" t="str">
            <v>00029</v>
          </cell>
          <cell r="E35" t="str">
            <v/>
          </cell>
          <cell r="G35" t="str">
            <v/>
          </cell>
          <cell r="H35" t="str">
            <v>G6</v>
          </cell>
          <cell r="I35" t="str">
            <v>G.RAHERSA</v>
          </cell>
          <cell r="K35" t="str">
            <v/>
          </cell>
          <cell r="L35" t="str">
            <v>02</v>
          </cell>
          <cell r="M35" t="str">
            <v>ASA</v>
          </cell>
          <cell r="O35" t="str">
            <v/>
          </cell>
          <cell r="Q35" t="str">
            <v/>
          </cell>
        </row>
        <row r="36">
          <cell r="B36" t="str">
            <v>A030</v>
          </cell>
          <cell r="C36" t="str">
            <v>00030</v>
          </cell>
          <cell r="E36" t="str">
            <v/>
          </cell>
          <cell r="G36" t="str">
            <v/>
          </cell>
          <cell r="H36" t="str">
            <v>G7</v>
          </cell>
          <cell r="I36" t="str">
            <v>G.LOJA CAÇA</v>
          </cell>
          <cell r="K36" t="str">
            <v/>
          </cell>
          <cell r="L36" t="str">
            <v>02</v>
          </cell>
          <cell r="M36" t="str">
            <v>ASA</v>
          </cell>
          <cell r="O36" t="str">
            <v/>
          </cell>
          <cell r="Q36" t="str">
            <v/>
          </cell>
        </row>
        <row r="37">
          <cell r="B37" t="str">
            <v>A031</v>
          </cell>
          <cell r="C37" t="str">
            <v>00031</v>
          </cell>
          <cell r="E37" t="str">
            <v/>
          </cell>
          <cell r="G37" t="str">
            <v/>
          </cell>
          <cell r="I37" t="str">
            <v/>
          </cell>
          <cell r="K37" t="str">
            <v/>
          </cell>
          <cell r="L37" t="str">
            <v>04</v>
          </cell>
          <cell r="M37" t="str">
            <v>P/T ASA</v>
          </cell>
          <cell r="O37" t="str">
            <v/>
          </cell>
          <cell r="Q37" t="str">
            <v/>
          </cell>
        </row>
        <row r="38">
          <cell r="B38" t="str">
            <v>A032</v>
          </cell>
          <cell r="C38" t="str">
            <v>00032</v>
          </cell>
          <cell r="E38" t="str">
            <v/>
          </cell>
          <cell r="G38" t="str">
            <v/>
          </cell>
          <cell r="H38" t="str">
            <v>G8</v>
          </cell>
          <cell r="I38" t="str">
            <v>G.AMBIOLEO</v>
          </cell>
          <cell r="K38" t="str">
            <v/>
          </cell>
          <cell r="L38" t="str">
            <v>03</v>
          </cell>
          <cell r="M38" t="str">
            <v>CAV</v>
          </cell>
          <cell r="O38" t="str">
            <v/>
          </cell>
          <cell r="Q38" t="str">
            <v/>
          </cell>
        </row>
        <row r="39">
          <cell r="B39" t="str">
            <v>A033</v>
          </cell>
          <cell r="C39" t="str">
            <v>00033</v>
          </cell>
          <cell r="E39" t="str">
            <v/>
          </cell>
          <cell r="G39" t="str">
            <v/>
          </cell>
          <cell r="H39" t="str">
            <v>G9</v>
          </cell>
          <cell r="I39" t="str">
            <v>G.FILTAPORTO</v>
          </cell>
          <cell r="K39" t="str">
            <v/>
          </cell>
          <cell r="L39" t="str">
            <v>03</v>
          </cell>
          <cell r="M39" t="str">
            <v>CAV</v>
          </cell>
          <cell r="O39" t="str">
            <v/>
          </cell>
          <cell r="Q39" t="str">
            <v/>
          </cell>
        </row>
        <row r="40">
          <cell r="B40" t="str">
            <v>A034</v>
          </cell>
          <cell r="C40" t="str">
            <v>00034</v>
          </cell>
          <cell r="E40" t="str">
            <v/>
          </cell>
          <cell r="G40" t="str">
            <v/>
          </cell>
          <cell r="H40" t="str">
            <v>G10</v>
          </cell>
          <cell r="I40" t="str">
            <v>G.FILTAPORTO/ECOLEO</v>
          </cell>
          <cell r="K40" t="str">
            <v/>
          </cell>
          <cell r="L40" t="str">
            <v>02</v>
          </cell>
          <cell r="M40" t="str">
            <v>ASA</v>
          </cell>
          <cell r="O40" t="str">
            <v/>
          </cell>
          <cell r="Q40" t="str">
            <v/>
          </cell>
        </row>
        <row r="41">
          <cell r="B41" t="str">
            <v>A035</v>
          </cell>
          <cell r="C41" t="str">
            <v>00035</v>
          </cell>
          <cell r="E41" t="str">
            <v/>
          </cell>
          <cell r="G41" t="str">
            <v/>
          </cell>
          <cell r="H41" t="str">
            <v>G11</v>
          </cell>
          <cell r="I41" t="str">
            <v>G.RECIOL</v>
          </cell>
          <cell r="K41" t="str">
            <v/>
          </cell>
          <cell r="L41" t="str">
            <v>02</v>
          </cell>
          <cell r="M41" t="str">
            <v>ASA</v>
          </cell>
          <cell r="O41" t="str">
            <v/>
          </cell>
          <cell r="Q41" t="str">
            <v/>
          </cell>
        </row>
        <row r="42">
          <cell r="B42" t="str">
            <v>A036</v>
          </cell>
          <cell r="C42" t="str">
            <v>00036</v>
          </cell>
          <cell r="E42" t="str">
            <v/>
          </cell>
          <cell r="G42" t="str">
            <v/>
          </cell>
          <cell r="H42" t="str">
            <v>G12</v>
          </cell>
          <cell r="I42" t="str">
            <v>G.HOVIONE</v>
          </cell>
          <cell r="K42" t="str">
            <v/>
          </cell>
          <cell r="L42" t="str">
            <v>02</v>
          </cell>
          <cell r="M42" t="str">
            <v>ASA</v>
          </cell>
          <cell r="N42" t="str">
            <v>06</v>
          </cell>
          <cell r="O42" t="str">
            <v>CONICA</v>
          </cell>
          <cell r="Q42" t="str">
            <v/>
          </cell>
        </row>
        <row r="43">
          <cell r="B43" t="str">
            <v>A037</v>
          </cell>
          <cell r="C43" t="str">
            <v>00037</v>
          </cell>
          <cell r="E43" t="str">
            <v/>
          </cell>
          <cell r="G43" t="str">
            <v/>
          </cell>
          <cell r="I43" t="str">
            <v/>
          </cell>
          <cell r="K43" t="str">
            <v/>
          </cell>
          <cell r="L43" t="str">
            <v>02</v>
          </cell>
          <cell r="M43" t="str">
            <v>ASA</v>
          </cell>
          <cell r="N43" t="str">
            <v>06</v>
          </cell>
          <cell r="O43" t="str">
            <v>CONICA</v>
          </cell>
          <cell r="Q43" t="str">
            <v/>
          </cell>
        </row>
        <row r="44">
          <cell r="B44" t="str">
            <v>A038</v>
          </cell>
          <cell r="C44" t="str">
            <v>00038</v>
          </cell>
          <cell r="E44" t="str">
            <v/>
          </cell>
          <cell r="G44" t="str">
            <v/>
          </cell>
          <cell r="H44" t="str">
            <v>G13</v>
          </cell>
          <cell r="I44" t="str">
            <v>G.BRAVAL</v>
          </cell>
          <cell r="K44" t="str">
            <v/>
          </cell>
          <cell r="L44" t="str">
            <v>02</v>
          </cell>
          <cell r="M44" t="str">
            <v>ASA</v>
          </cell>
          <cell r="O44" t="str">
            <v/>
          </cell>
          <cell r="Q44" t="str">
            <v/>
          </cell>
        </row>
        <row r="45">
          <cell r="B45" t="str">
            <v>A039</v>
          </cell>
          <cell r="C45" t="str">
            <v>00039</v>
          </cell>
          <cell r="E45" t="str">
            <v/>
          </cell>
          <cell r="G45" t="str">
            <v/>
          </cell>
          <cell r="H45" t="str">
            <v>G14</v>
          </cell>
          <cell r="I45" t="str">
            <v>G.C.M.LEIRIA</v>
          </cell>
          <cell r="K45" t="str">
            <v/>
          </cell>
          <cell r="L45" t="str">
            <v>02</v>
          </cell>
          <cell r="M45" t="str">
            <v>ASA</v>
          </cell>
          <cell r="O45" t="str">
            <v/>
          </cell>
          <cell r="Q45" t="str">
            <v/>
          </cell>
        </row>
        <row r="46">
          <cell r="B46" t="str">
            <v>A040</v>
          </cell>
          <cell r="C46" t="str">
            <v>00040</v>
          </cell>
          <cell r="E46" t="str">
            <v/>
          </cell>
          <cell r="G46" t="str">
            <v/>
          </cell>
          <cell r="H46" t="str">
            <v>G15</v>
          </cell>
          <cell r="I46" t="str">
            <v>G.QUIMILONGRA</v>
          </cell>
          <cell r="K46" t="str">
            <v/>
          </cell>
          <cell r="L46" t="str">
            <v>02</v>
          </cell>
          <cell r="M46" t="str">
            <v>ASA</v>
          </cell>
          <cell r="N46" t="str">
            <v>01</v>
          </cell>
          <cell r="O46" t="str">
            <v>REDONDO (PEAD e PT)</v>
          </cell>
          <cell r="Q46" t="str">
            <v/>
          </cell>
        </row>
        <row r="47">
          <cell r="B47" t="str">
            <v>A041</v>
          </cell>
          <cell r="C47" t="str">
            <v>00041</v>
          </cell>
          <cell r="E47" t="str">
            <v/>
          </cell>
          <cell r="G47" t="str">
            <v/>
          </cell>
          <cell r="H47" t="str">
            <v>G16</v>
          </cell>
          <cell r="I47" t="str">
            <v>G.REIVAX</v>
          </cell>
          <cell r="K47" t="str">
            <v/>
          </cell>
          <cell r="M47" t="str">
            <v/>
          </cell>
          <cell r="O47" t="str">
            <v/>
          </cell>
          <cell r="Q47" t="str">
            <v/>
          </cell>
        </row>
        <row r="48">
          <cell r="B48" t="str">
            <v>A042</v>
          </cell>
          <cell r="C48" t="str">
            <v>00042</v>
          </cell>
          <cell r="E48" t="str">
            <v/>
          </cell>
          <cell r="G48" t="str">
            <v/>
          </cell>
          <cell r="H48" t="str">
            <v>G17</v>
          </cell>
          <cell r="I48" t="str">
            <v>G.PROIN</v>
          </cell>
          <cell r="K48" t="str">
            <v/>
          </cell>
          <cell r="M48" t="str">
            <v/>
          </cell>
          <cell r="N48" t="str">
            <v>07</v>
          </cell>
          <cell r="O48" t="str">
            <v>COM CHAPA</v>
          </cell>
          <cell r="Q48" t="str">
            <v/>
          </cell>
        </row>
        <row r="49">
          <cell r="B49" t="str">
            <v>A043</v>
          </cell>
          <cell r="C49" t="str">
            <v>00043</v>
          </cell>
          <cell r="E49" t="str">
            <v/>
          </cell>
          <cell r="G49" t="str">
            <v/>
          </cell>
          <cell r="H49" t="str">
            <v>G17</v>
          </cell>
          <cell r="I49" t="str">
            <v>G.PROIN</v>
          </cell>
          <cell r="K49" t="str">
            <v/>
          </cell>
          <cell r="M49" t="str">
            <v/>
          </cell>
          <cell r="N49" t="str">
            <v>08</v>
          </cell>
          <cell r="O49" t="str">
            <v>PARA BASE</v>
          </cell>
          <cell r="Q49" t="str">
            <v/>
          </cell>
        </row>
        <row r="50">
          <cell r="B50" t="str">
            <v>A044</v>
          </cell>
          <cell r="C50" t="str">
            <v>00044</v>
          </cell>
          <cell r="E50" t="str">
            <v/>
          </cell>
          <cell r="G50" t="str">
            <v/>
          </cell>
          <cell r="H50" t="str">
            <v>G18</v>
          </cell>
          <cell r="I50" t="str">
            <v>G.KROMM</v>
          </cell>
          <cell r="K50" t="str">
            <v/>
          </cell>
          <cell r="M50" t="str">
            <v/>
          </cell>
          <cell r="O50" t="str">
            <v/>
          </cell>
          <cell r="Q50" t="str">
            <v/>
          </cell>
        </row>
        <row r="51">
          <cell r="B51" t="str">
            <v>A045</v>
          </cell>
          <cell r="C51" t="str">
            <v>00045</v>
          </cell>
          <cell r="E51" t="str">
            <v/>
          </cell>
          <cell r="G51" t="str">
            <v/>
          </cell>
          <cell r="I51" t="str">
            <v/>
          </cell>
          <cell r="K51" t="str">
            <v/>
          </cell>
          <cell r="M51" t="str">
            <v/>
          </cell>
          <cell r="N51" t="str">
            <v>05</v>
          </cell>
          <cell r="O51" t="str">
            <v>EMPILHAVEL</v>
          </cell>
          <cell r="Q51" t="str">
            <v/>
          </cell>
        </row>
        <row r="52">
          <cell r="B52" t="str">
            <v>A046</v>
          </cell>
          <cell r="C52" t="str">
            <v>00046</v>
          </cell>
          <cell r="D52" t="str">
            <v>P13</v>
          </cell>
          <cell r="E52" t="str">
            <v>270G</v>
          </cell>
          <cell r="G52" t="str">
            <v/>
          </cell>
          <cell r="I52" t="str">
            <v/>
          </cell>
          <cell r="K52" t="str">
            <v/>
          </cell>
          <cell r="M52" t="str">
            <v/>
          </cell>
          <cell r="O52" t="str">
            <v/>
          </cell>
          <cell r="Q52" t="str">
            <v/>
          </cell>
        </row>
        <row r="53">
          <cell r="B53" t="str">
            <v>A047</v>
          </cell>
          <cell r="C53" t="str">
            <v>00047</v>
          </cell>
          <cell r="E53" t="str">
            <v/>
          </cell>
          <cell r="G53" t="str">
            <v/>
          </cell>
          <cell r="H53" t="str">
            <v>G19</v>
          </cell>
          <cell r="I53" t="str">
            <v>G.UNICHEME</v>
          </cell>
          <cell r="K53" t="str">
            <v/>
          </cell>
          <cell r="M53" t="str">
            <v/>
          </cell>
          <cell r="O53" t="str">
            <v/>
          </cell>
          <cell r="Q53" t="str">
            <v/>
          </cell>
        </row>
        <row r="54">
          <cell r="B54" t="str">
            <v>A048</v>
          </cell>
          <cell r="C54" t="str">
            <v>00048</v>
          </cell>
          <cell r="E54" t="str">
            <v/>
          </cell>
          <cell r="G54" t="str">
            <v/>
          </cell>
          <cell r="I54" t="str">
            <v/>
          </cell>
          <cell r="K54" t="str">
            <v/>
          </cell>
          <cell r="M54" t="str">
            <v/>
          </cell>
          <cell r="N54" t="str">
            <v>01</v>
          </cell>
          <cell r="O54" t="str">
            <v>REDONDO (PEAD e PT)</v>
          </cell>
          <cell r="Q54" t="str">
            <v/>
          </cell>
        </row>
        <row r="55">
          <cell r="B55" t="str">
            <v>A049</v>
          </cell>
          <cell r="C55" t="str">
            <v>00049</v>
          </cell>
          <cell r="E55" t="str">
            <v/>
          </cell>
          <cell r="G55" t="str">
            <v/>
          </cell>
          <cell r="I55" t="str">
            <v/>
          </cell>
          <cell r="K55" t="str">
            <v/>
          </cell>
          <cell r="L55" t="str">
            <v>04</v>
          </cell>
          <cell r="M55" t="str">
            <v>P/T ASA</v>
          </cell>
          <cell r="N55" t="str">
            <v>02</v>
          </cell>
          <cell r="O55" t="str">
            <v>FACETADO</v>
          </cell>
          <cell r="Q55" t="str">
            <v/>
          </cell>
        </row>
        <row r="56">
          <cell r="B56" t="str">
            <v>A050</v>
          </cell>
          <cell r="C56" t="str">
            <v>00050</v>
          </cell>
          <cell r="E56" t="str">
            <v/>
          </cell>
          <cell r="G56" t="str">
            <v/>
          </cell>
          <cell r="I56" t="str">
            <v/>
          </cell>
          <cell r="K56" t="str">
            <v/>
          </cell>
          <cell r="L56" t="str">
            <v>02</v>
          </cell>
          <cell r="M56" t="str">
            <v>ASA</v>
          </cell>
          <cell r="N56" t="str">
            <v>02</v>
          </cell>
          <cell r="O56" t="str">
            <v>FACETADO</v>
          </cell>
          <cell r="Q56" t="str">
            <v/>
          </cell>
        </row>
        <row r="57">
          <cell r="B57" t="str">
            <v>A051</v>
          </cell>
          <cell r="C57" t="str">
            <v>00051</v>
          </cell>
          <cell r="E57" t="str">
            <v/>
          </cell>
          <cell r="G57" t="str">
            <v/>
          </cell>
          <cell r="I57" t="str">
            <v/>
          </cell>
          <cell r="K57" t="str">
            <v/>
          </cell>
          <cell r="L57" t="str">
            <v>02</v>
          </cell>
          <cell r="M57" t="str">
            <v>ASA</v>
          </cell>
          <cell r="N57" t="str">
            <v>01</v>
          </cell>
          <cell r="O57" t="str">
            <v>REDONDO (PEAD e PT)</v>
          </cell>
          <cell r="Q57" t="str">
            <v/>
          </cell>
        </row>
        <row r="58">
          <cell r="B58" t="str">
            <v>A052</v>
          </cell>
          <cell r="C58" t="str">
            <v>00052</v>
          </cell>
          <cell r="E58" t="str">
            <v/>
          </cell>
          <cell r="G58" t="str">
            <v/>
          </cell>
          <cell r="H58" t="str">
            <v>G5</v>
          </cell>
          <cell r="I58" t="str">
            <v>G.SERCAÇA</v>
          </cell>
          <cell r="K58" t="str">
            <v/>
          </cell>
          <cell r="M58" t="str">
            <v/>
          </cell>
          <cell r="N58" t="str">
            <v>02</v>
          </cell>
          <cell r="O58" t="str">
            <v>FACETADO</v>
          </cell>
          <cell r="Q58" t="str">
            <v/>
          </cell>
        </row>
        <row r="59">
          <cell r="B59" t="str">
            <v>A053</v>
          </cell>
          <cell r="C59" t="str">
            <v>00053</v>
          </cell>
          <cell r="E59" t="str">
            <v/>
          </cell>
          <cell r="G59" t="str">
            <v/>
          </cell>
          <cell r="H59" t="str">
            <v>G11</v>
          </cell>
          <cell r="I59" t="str">
            <v>G.RECIOL</v>
          </cell>
          <cell r="K59" t="str">
            <v/>
          </cell>
          <cell r="L59" t="str">
            <v>02</v>
          </cell>
          <cell r="M59" t="str">
            <v>ASA</v>
          </cell>
          <cell r="N59" t="str">
            <v>02</v>
          </cell>
          <cell r="O59" t="str">
            <v>FACETADO</v>
          </cell>
          <cell r="Q59" t="str">
            <v/>
          </cell>
        </row>
        <row r="60">
          <cell r="B60" t="str">
            <v>A054</v>
          </cell>
          <cell r="C60" t="str">
            <v>00054</v>
          </cell>
          <cell r="E60" t="str">
            <v/>
          </cell>
          <cell r="G60" t="str">
            <v/>
          </cell>
          <cell r="I60" t="str">
            <v/>
          </cell>
          <cell r="K60" t="str">
            <v/>
          </cell>
          <cell r="M60" t="str">
            <v/>
          </cell>
          <cell r="N60" t="str">
            <v>04</v>
          </cell>
          <cell r="O60" t="str">
            <v>RETANGULAR</v>
          </cell>
          <cell r="Q60" t="str">
            <v/>
          </cell>
        </row>
        <row r="61">
          <cell r="B61" t="str">
            <v>A055</v>
          </cell>
          <cell r="C61" t="str">
            <v>00055</v>
          </cell>
          <cell r="E61" t="str">
            <v/>
          </cell>
          <cell r="G61" t="str">
            <v/>
          </cell>
          <cell r="I61" t="str">
            <v/>
          </cell>
          <cell r="K61" t="str">
            <v/>
          </cell>
          <cell r="M61" t="str">
            <v/>
          </cell>
          <cell r="N61" t="str">
            <v>02</v>
          </cell>
          <cell r="O61" t="str">
            <v>FACETADO</v>
          </cell>
          <cell r="Q61" t="str">
            <v/>
          </cell>
        </row>
        <row r="62">
          <cell r="B62" t="str">
            <v>A056</v>
          </cell>
          <cell r="C62" t="str">
            <v>00056</v>
          </cell>
          <cell r="E62" t="str">
            <v/>
          </cell>
          <cell r="G62" t="str">
            <v/>
          </cell>
          <cell r="I62" t="str">
            <v/>
          </cell>
          <cell r="K62" t="str">
            <v/>
          </cell>
          <cell r="M62" t="str">
            <v/>
          </cell>
          <cell r="N62" t="str">
            <v>09</v>
          </cell>
          <cell r="O62" t="str">
            <v>LACADA</v>
          </cell>
          <cell r="Q62" t="str">
            <v/>
          </cell>
        </row>
        <row r="63">
          <cell r="B63" t="str">
            <v>A057</v>
          </cell>
          <cell r="C63" t="str">
            <v>00057</v>
          </cell>
          <cell r="E63" t="str">
            <v/>
          </cell>
          <cell r="G63" t="str">
            <v/>
          </cell>
          <cell r="H63" t="str">
            <v>G20</v>
          </cell>
          <cell r="I63" t="str">
            <v>G.BIOCANTER</v>
          </cell>
          <cell r="K63" t="str">
            <v/>
          </cell>
          <cell r="L63" t="str">
            <v>02</v>
          </cell>
          <cell r="M63" t="str">
            <v>ASA</v>
          </cell>
          <cell r="O63" t="str">
            <v/>
          </cell>
          <cell r="Q63" t="str">
            <v/>
          </cell>
        </row>
        <row r="64">
          <cell r="B64" t="str">
            <v>A058</v>
          </cell>
          <cell r="C64" t="str">
            <v>00058</v>
          </cell>
          <cell r="E64" t="str">
            <v/>
          </cell>
          <cell r="G64" t="str">
            <v/>
          </cell>
          <cell r="I64" t="str">
            <v/>
          </cell>
          <cell r="K64" t="str">
            <v/>
          </cell>
          <cell r="M64" t="str">
            <v/>
          </cell>
          <cell r="N64" t="str">
            <v>10</v>
          </cell>
          <cell r="O64" t="str">
            <v>(ANTIGO)</v>
          </cell>
          <cell r="Q64" t="str">
            <v/>
          </cell>
        </row>
        <row r="65">
          <cell r="B65" t="str">
            <v>A059</v>
          </cell>
          <cell r="C65" t="str">
            <v>00059</v>
          </cell>
          <cell r="E65" t="str">
            <v/>
          </cell>
          <cell r="G65" t="str">
            <v/>
          </cell>
          <cell r="H65" t="str">
            <v>G21</v>
          </cell>
          <cell r="I65" t="str">
            <v>G.PUMARIEGA</v>
          </cell>
          <cell r="K65" t="str">
            <v/>
          </cell>
          <cell r="L65" t="str">
            <v>03</v>
          </cell>
          <cell r="M65" t="str">
            <v>CAV</v>
          </cell>
          <cell r="O65" t="str">
            <v/>
          </cell>
          <cell r="Q65" t="str">
            <v/>
          </cell>
        </row>
        <row r="66">
          <cell r="B66" t="str">
            <v>A060</v>
          </cell>
          <cell r="C66" t="str">
            <v>00060</v>
          </cell>
          <cell r="E66" t="str">
            <v/>
          </cell>
          <cell r="G66" t="str">
            <v/>
          </cell>
          <cell r="H66" t="str">
            <v>G22</v>
          </cell>
          <cell r="I66" t="str">
            <v>G.BIOLOGICAL</v>
          </cell>
          <cell r="K66" t="str">
            <v/>
          </cell>
          <cell r="L66" t="str">
            <v>02</v>
          </cell>
          <cell r="M66" t="str">
            <v>ASA</v>
          </cell>
          <cell r="O66" t="str">
            <v/>
          </cell>
          <cell r="Q66" t="str">
            <v/>
          </cell>
        </row>
        <row r="67">
          <cell r="B67" t="str">
            <v>A061</v>
          </cell>
          <cell r="C67" t="str">
            <v>00061</v>
          </cell>
          <cell r="E67" t="str">
            <v/>
          </cell>
          <cell r="G67" t="str">
            <v/>
          </cell>
          <cell r="I67" t="str">
            <v/>
          </cell>
          <cell r="K67" t="str">
            <v/>
          </cell>
          <cell r="M67" t="str">
            <v/>
          </cell>
          <cell r="N67" t="str">
            <v>11</v>
          </cell>
          <cell r="O67" t="str">
            <v>AUTO-VENTILADA</v>
          </cell>
          <cell r="Q67" t="str">
            <v/>
          </cell>
        </row>
        <row r="68">
          <cell r="B68" t="str">
            <v>A062</v>
          </cell>
          <cell r="C68" t="str">
            <v>00062</v>
          </cell>
          <cell r="D68" t="str">
            <v>P4</v>
          </cell>
          <cell r="E68" t="str">
            <v>1250G</v>
          </cell>
          <cell r="G68" t="str">
            <v/>
          </cell>
          <cell r="I68" t="str">
            <v/>
          </cell>
          <cell r="K68" t="str">
            <v/>
          </cell>
          <cell r="M68" t="str">
            <v/>
          </cell>
          <cell r="N68" t="str">
            <v>12</v>
          </cell>
          <cell r="O68" t="str">
            <v>PAL100</v>
          </cell>
          <cell r="Q68" t="str">
            <v/>
          </cell>
        </row>
        <row r="69">
          <cell r="B69" t="str">
            <v>A063</v>
          </cell>
          <cell r="C69" t="str">
            <v>00063</v>
          </cell>
          <cell r="E69" t="str">
            <v/>
          </cell>
          <cell r="G69" t="str">
            <v/>
          </cell>
          <cell r="I69" t="str">
            <v/>
          </cell>
          <cell r="K69" t="str">
            <v/>
          </cell>
          <cell r="M69" t="str">
            <v/>
          </cell>
          <cell r="N69" t="str">
            <v>13</v>
          </cell>
          <cell r="O69" t="str">
            <v>C/ CONE</v>
          </cell>
          <cell r="Q69" t="str">
            <v/>
          </cell>
        </row>
        <row r="70">
          <cell r="B70" t="str">
            <v>A064</v>
          </cell>
          <cell r="C70" t="str">
            <v>00064</v>
          </cell>
          <cell r="E70" t="str">
            <v/>
          </cell>
          <cell r="G70" t="str">
            <v/>
          </cell>
          <cell r="I70" t="str">
            <v/>
          </cell>
          <cell r="K70" t="str">
            <v/>
          </cell>
          <cell r="M70" t="str">
            <v/>
          </cell>
          <cell r="N70" t="str">
            <v>14</v>
          </cell>
          <cell r="O70" t="str">
            <v>SEGURANÇA</v>
          </cell>
          <cell r="Q70" t="str">
            <v/>
          </cell>
        </row>
        <row r="71">
          <cell r="B71" t="str">
            <v>A065</v>
          </cell>
          <cell r="C71" t="str">
            <v>00065</v>
          </cell>
          <cell r="D71" t="str">
            <v>P2</v>
          </cell>
          <cell r="E71" t="str">
            <v>1100G</v>
          </cell>
          <cell r="G71" t="str">
            <v/>
          </cell>
          <cell r="H71" t="str">
            <v>G23</v>
          </cell>
          <cell r="I71" t="str">
            <v>G.CARVIDET (LOGO)</v>
          </cell>
          <cell r="K71" t="str">
            <v/>
          </cell>
          <cell r="M71" t="str">
            <v/>
          </cell>
          <cell r="O71" t="str">
            <v/>
          </cell>
          <cell r="Q71" t="str">
            <v/>
          </cell>
        </row>
        <row r="72">
          <cell r="B72" t="str">
            <v>A066</v>
          </cell>
          <cell r="C72" t="str">
            <v>00066</v>
          </cell>
          <cell r="E72" t="str">
            <v/>
          </cell>
          <cell r="G72" t="str">
            <v/>
          </cell>
          <cell r="H72" t="str">
            <v>G24</v>
          </cell>
          <cell r="I72" t="str">
            <v>G.DETAL</v>
          </cell>
          <cell r="K72" t="str">
            <v/>
          </cell>
          <cell r="M72" t="str">
            <v/>
          </cell>
          <cell r="O72" t="str">
            <v/>
          </cell>
          <cell r="Q72" t="str">
            <v/>
          </cell>
        </row>
        <row r="73">
          <cell r="B73" t="str">
            <v>A067</v>
          </cell>
          <cell r="C73" t="str">
            <v>00067</v>
          </cell>
          <cell r="D73" t="str">
            <v>P14</v>
          </cell>
          <cell r="E73" t="str">
            <v>280G</v>
          </cell>
          <cell r="F73" t="str">
            <v>C1</v>
          </cell>
          <cell r="G73" t="str">
            <v>3H1/Y1,2</v>
          </cell>
          <cell r="I73" t="str">
            <v/>
          </cell>
          <cell r="K73" t="str">
            <v/>
          </cell>
          <cell r="M73" t="str">
            <v/>
          </cell>
          <cell r="O73" t="str">
            <v/>
          </cell>
          <cell r="Q73" t="str">
            <v/>
          </cell>
        </row>
        <row r="74">
          <cell r="B74" t="str">
            <v>A068</v>
          </cell>
          <cell r="C74" t="str">
            <v>00068</v>
          </cell>
          <cell r="E74" t="str">
            <v/>
          </cell>
          <cell r="G74" t="str">
            <v/>
          </cell>
          <cell r="I74" t="str">
            <v/>
          </cell>
          <cell r="K74" t="str">
            <v/>
          </cell>
          <cell r="M74" t="str">
            <v/>
          </cell>
          <cell r="N74" t="str">
            <v>15</v>
          </cell>
          <cell r="O74" t="str">
            <v>C/ SAIA</v>
          </cell>
          <cell r="Q74" t="str">
            <v/>
          </cell>
        </row>
        <row r="75">
          <cell r="B75" t="str">
            <v>A069</v>
          </cell>
          <cell r="C75" t="str">
            <v>00069</v>
          </cell>
          <cell r="E75" t="str">
            <v/>
          </cell>
          <cell r="G75" t="str">
            <v/>
          </cell>
          <cell r="I75" t="str">
            <v/>
          </cell>
          <cell r="K75" t="str">
            <v/>
          </cell>
          <cell r="M75" t="str">
            <v/>
          </cell>
          <cell r="N75" t="str">
            <v>16</v>
          </cell>
          <cell r="O75" t="str">
            <v>P/ PULVERIZADOR</v>
          </cell>
          <cell r="Q75" t="str">
            <v/>
          </cell>
        </row>
        <row r="76">
          <cell r="B76" t="str">
            <v>A070</v>
          </cell>
          <cell r="C76" t="str">
            <v>00070</v>
          </cell>
          <cell r="E76" t="str">
            <v/>
          </cell>
          <cell r="G76" t="str">
            <v/>
          </cell>
          <cell r="H76" t="str">
            <v>G25</v>
          </cell>
          <cell r="I76" t="str">
            <v>G.AGRI-MELK</v>
          </cell>
          <cell r="K76" t="str">
            <v/>
          </cell>
          <cell r="M76" t="str">
            <v/>
          </cell>
          <cell r="O76" t="str">
            <v/>
          </cell>
          <cell r="Q76" t="str">
            <v/>
          </cell>
        </row>
        <row r="77">
          <cell r="B77" t="str">
            <v>A071</v>
          </cell>
          <cell r="C77" t="str">
            <v>00071</v>
          </cell>
          <cell r="E77" t="str">
            <v/>
          </cell>
          <cell r="G77" t="str">
            <v/>
          </cell>
          <cell r="H77" t="str">
            <v>G26</v>
          </cell>
          <cell r="I77" t="str">
            <v>G.VIAPOR</v>
          </cell>
          <cell r="K77" t="str">
            <v/>
          </cell>
          <cell r="M77" t="str">
            <v/>
          </cell>
          <cell r="O77" t="str">
            <v/>
          </cell>
          <cell r="Q77" t="str">
            <v/>
          </cell>
        </row>
        <row r="78">
          <cell r="B78" t="str">
            <v>A072</v>
          </cell>
          <cell r="C78" t="str">
            <v>00072</v>
          </cell>
          <cell r="E78" t="str">
            <v/>
          </cell>
          <cell r="G78" t="str">
            <v/>
          </cell>
          <cell r="I78" t="str">
            <v/>
          </cell>
          <cell r="K78" t="str">
            <v/>
          </cell>
          <cell r="L78" t="str">
            <v>03</v>
          </cell>
          <cell r="M78" t="str">
            <v>CAV</v>
          </cell>
          <cell r="N78" t="str">
            <v>17</v>
          </cell>
          <cell r="O78" t="str">
            <v>T. FITA</v>
          </cell>
          <cell r="Q78" t="str">
            <v/>
          </cell>
        </row>
        <row r="79">
          <cell r="B79" t="str">
            <v>A073</v>
          </cell>
          <cell r="C79" t="str">
            <v>00073</v>
          </cell>
          <cell r="E79" t="str">
            <v/>
          </cell>
          <cell r="G79" t="str">
            <v/>
          </cell>
          <cell r="I79" t="str">
            <v/>
          </cell>
          <cell r="K79" t="str">
            <v/>
          </cell>
          <cell r="L79" t="str">
            <v>03</v>
          </cell>
          <cell r="M79" t="str">
            <v>CAV</v>
          </cell>
          <cell r="N79" t="str">
            <v>18</v>
          </cell>
          <cell r="O79" t="str">
            <v>T. CALHA</v>
          </cell>
          <cell r="Q79" t="str">
            <v/>
          </cell>
        </row>
        <row r="80">
          <cell r="B80" t="str">
            <v>A074</v>
          </cell>
          <cell r="C80" t="str">
            <v>00074</v>
          </cell>
          <cell r="E80" t="str">
            <v/>
          </cell>
          <cell r="G80" t="str">
            <v/>
          </cell>
          <cell r="I80" t="str">
            <v/>
          </cell>
          <cell r="K80" t="str">
            <v/>
          </cell>
          <cell r="L80" t="str">
            <v>02</v>
          </cell>
          <cell r="M80" t="str">
            <v>ASA</v>
          </cell>
          <cell r="N80" t="str">
            <v>17</v>
          </cell>
          <cell r="O80" t="str">
            <v>T. FITA</v>
          </cell>
          <cell r="Q80" t="str">
            <v/>
          </cell>
        </row>
        <row r="81">
          <cell r="B81" t="str">
            <v>A075</v>
          </cell>
          <cell r="C81" t="str">
            <v>00075</v>
          </cell>
          <cell r="E81" t="str">
            <v/>
          </cell>
          <cell r="G81" t="str">
            <v/>
          </cell>
          <cell r="I81" t="str">
            <v/>
          </cell>
          <cell r="K81" t="str">
            <v/>
          </cell>
          <cell r="L81" t="str">
            <v>02</v>
          </cell>
          <cell r="M81" t="str">
            <v>ASA</v>
          </cell>
          <cell r="N81" t="str">
            <v>18</v>
          </cell>
          <cell r="O81" t="str">
            <v>T. CALHA</v>
          </cell>
          <cell r="Q81" t="str">
            <v/>
          </cell>
        </row>
        <row r="82">
          <cell r="B82" t="str">
            <v>A076</v>
          </cell>
          <cell r="C82" t="str">
            <v>00076</v>
          </cell>
          <cell r="E82" t="str">
            <v/>
          </cell>
          <cell r="G82" t="str">
            <v/>
          </cell>
          <cell r="I82" t="str">
            <v/>
          </cell>
          <cell r="K82" t="str">
            <v/>
          </cell>
          <cell r="L82" t="str">
            <v>05</v>
          </cell>
          <cell r="M82" t="str">
            <v>P/T CAV</v>
          </cell>
          <cell r="N82" t="str">
            <v>18</v>
          </cell>
          <cell r="O82" t="str">
            <v>T. CALHA</v>
          </cell>
          <cell r="Q82" t="str">
            <v/>
          </cell>
        </row>
        <row r="83">
          <cell r="B83" t="str">
            <v>A077</v>
          </cell>
          <cell r="C83" t="str">
            <v>00077</v>
          </cell>
          <cell r="E83" t="str">
            <v/>
          </cell>
          <cell r="G83" t="str">
            <v/>
          </cell>
          <cell r="H83" t="str">
            <v>G8</v>
          </cell>
          <cell r="I83" t="str">
            <v>G.AMBIOLEO</v>
          </cell>
          <cell r="K83" t="str">
            <v/>
          </cell>
          <cell r="L83" t="str">
            <v>03</v>
          </cell>
          <cell r="M83" t="str">
            <v>CAV</v>
          </cell>
          <cell r="N83" t="str">
            <v>17</v>
          </cell>
          <cell r="O83" t="str">
            <v>T. FITA</v>
          </cell>
          <cell r="Q83" t="str">
            <v/>
          </cell>
        </row>
        <row r="84">
          <cell r="B84" t="str">
            <v>A078</v>
          </cell>
          <cell r="C84" t="str">
            <v>00078</v>
          </cell>
          <cell r="E84" t="str">
            <v/>
          </cell>
          <cell r="G84" t="str">
            <v/>
          </cell>
          <cell r="H84" t="str">
            <v>G9</v>
          </cell>
          <cell r="I84" t="str">
            <v>G.FILTAPORTO</v>
          </cell>
          <cell r="K84" t="str">
            <v/>
          </cell>
          <cell r="L84" t="str">
            <v>03</v>
          </cell>
          <cell r="M84" t="str">
            <v>CAV</v>
          </cell>
          <cell r="N84" t="str">
            <v>17</v>
          </cell>
          <cell r="O84" t="str">
            <v>T. FITA</v>
          </cell>
          <cell r="Q84" t="str">
            <v/>
          </cell>
        </row>
        <row r="85">
          <cell r="B85" t="str">
            <v>A079</v>
          </cell>
          <cell r="C85" t="str">
            <v>00079</v>
          </cell>
          <cell r="E85" t="str">
            <v/>
          </cell>
          <cell r="G85" t="str">
            <v/>
          </cell>
          <cell r="H85" t="str">
            <v>G20</v>
          </cell>
          <cell r="I85" t="str">
            <v>G.BIOCANTER</v>
          </cell>
          <cell r="K85" t="str">
            <v/>
          </cell>
          <cell r="L85" t="str">
            <v>02</v>
          </cell>
          <cell r="M85" t="str">
            <v>ASA</v>
          </cell>
          <cell r="N85" t="str">
            <v>17</v>
          </cell>
          <cell r="O85" t="str">
            <v>T. FITA</v>
          </cell>
          <cell r="Q85" t="str">
            <v/>
          </cell>
        </row>
        <row r="86">
          <cell r="B86" t="str">
            <v>A080</v>
          </cell>
          <cell r="C86" t="str">
            <v>00080</v>
          </cell>
          <cell r="E86" t="str">
            <v/>
          </cell>
          <cell r="G86" t="str">
            <v/>
          </cell>
          <cell r="H86" t="str">
            <v>G10</v>
          </cell>
          <cell r="I86" t="str">
            <v>G.FILTAPORTO/ECOLEO</v>
          </cell>
          <cell r="K86" t="str">
            <v/>
          </cell>
          <cell r="L86" t="str">
            <v>02</v>
          </cell>
          <cell r="M86" t="str">
            <v>ASA</v>
          </cell>
          <cell r="N86" t="str">
            <v>17</v>
          </cell>
          <cell r="O86" t="str">
            <v>T. FITA</v>
          </cell>
          <cell r="Q86" t="str">
            <v/>
          </cell>
        </row>
        <row r="87">
          <cell r="B87" t="str">
            <v>A081</v>
          </cell>
          <cell r="C87" t="str">
            <v>00081</v>
          </cell>
          <cell r="E87" t="str">
            <v/>
          </cell>
          <cell r="G87" t="str">
            <v/>
          </cell>
          <cell r="H87" t="str">
            <v>G22</v>
          </cell>
          <cell r="I87" t="str">
            <v>G.BIOLOGICAL</v>
          </cell>
          <cell r="K87" t="str">
            <v/>
          </cell>
          <cell r="L87" t="str">
            <v>02</v>
          </cell>
          <cell r="M87" t="str">
            <v>ASA</v>
          </cell>
          <cell r="N87" t="str">
            <v>18</v>
          </cell>
          <cell r="O87" t="str">
            <v>T. CALHA</v>
          </cell>
          <cell r="Q87" t="str">
            <v/>
          </cell>
        </row>
        <row r="88">
          <cell r="B88" t="str">
            <v>A082</v>
          </cell>
          <cell r="C88" t="str">
            <v>00082</v>
          </cell>
          <cell r="E88" t="str">
            <v/>
          </cell>
          <cell r="G88" t="str">
            <v/>
          </cell>
          <cell r="H88" t="str">
            <v>G11</v>
          </cell>
          <cell r="I88" t="str">
            <v>G.RECIOL</v>
          </cell>
          <cell r="K88" t="str">
            <v/>
          </cell>
          <cell r="L88" t="str">
            <v>02</v>
          </cell>
          <cell r="M88" t="str">
            <v>ASA</v>
          </cell>
          <cell r="N88" t="str">
            <v>17</v>
          </cell>
          <cell r="O88" t="str">
            <v>T. FITA</v>
          </cell>
          <cell r="Q88" t="str">
            <v/>
          </cell>
        </row>
        <row r="89">
          <cell r="B89" t="str">
            <v>A083</v>
          </cell>
          <cell r="C89" t="str">
            <v>00083</v>
          </cell>
          <cell r="E89" t="str">
            <v/>
          </cell>
          <cell r="G89" t="str">
            <v/>
          </cell>
          <cell r="H89" t="str">
            <v>G12</v>
          </cell>
          <cell r="I89" t="str">
            <v>G.HOVIONE</v>
          </cell>
          <cell r="K89" t="str">
            <v/>
          </cell>
          <cell r="L89" t="str">
            <v>02</v>
          </cell>
          <cell r="M89" t="str">
            <v>ASA</v>
          </cell>
          <cell r="N89" t="str">
            <v>18</v>
          </cell>
          <cell r="O89" t="str">
            <v>T. CALHA</v>
          </cell>
          <cell r="Q89" t="str">
            <v/>
          </cell>
        </row>
        <row r="90">
          <cell r="B90" t="str">
            <v>A084</v>
          </cell>
          <cell r="C90" t="str">
            <v>00084</v>
          </cell>
          <cell r="E90" t="str">
            <v/>
          </cell>
          <cell r="G90" t="str">
            <v/>
          </cell>
          <cell r="I90" t="str">
            <v/>
          </cell>
          <cell r="K90" t="str">
            <v/>
          </cell>
          <cell r="L90" t="str">
            <v>03</v>
          </cell>
          <cell r="M90" t="str">
            <v>CAV</v>
          </cell>
          <cell r="N90" t="str">
            <v>19</v>
          </cell>
          <cell r="O90" t="str">
            <v>T. ROSCA Ø270</v>
          </cell>
          <cell r="Q90" t="str">
            <v/>
          </cell>
        </row>
        <row r="91">
          <cell r="B91" t="str">
            <v>A085</v>
          </cell>
          <cell r="C91" t="str">
            <v>00085</v>
          </cell>
          <cell r="E91" t="str">
            <v/>
          </cell>
          <cell r="G91" t="str">
            <v/>
          </cell>
          <cell r="I91" t="str">
            <v/>
          </cell>
          <cell r="K91" t="str">
            <v/>
          </cell>
          <cell r="L91" t="str">
            <v>02</v>
          </cell>
          <cell r="M91" t="str">
            <v>ASA</v>
          </cell>
          <cell r="N91" t="str">
            <v>19</v>
          </cell>
          <cell r="O91" t="str">
            <v>T. ROSCA Ø270</v>
          </cell>
          <cell r="Q91" t="str">
            <v/>
          </cell>
        </row>
        <row r="92">
          <cell r="B92" t="str">
            <v>A086</v>
          </cell>
          <cell r="C92" t="str">
            <v>00086</v>
          </cell>
          <cell r="E92" t="str">
            <v/>
          </cell>
          <cell r="G92" t="str">
            <v/>
          </cell>
          <cell r="I92" t="str">
            <v/>
          </cell>
          <cell r="K92" t="str">
            <v/>
          </cell>
          <cell r="M92" t="str">
            <v/>
          </cell>
          <cell r="N92" t="str">
            <v>20</v>
          </cell>
          <cell r="O92" t="str">
            <v>FLIP TOP</v>
          </cell>
          <cell r="Q92" t="str">
            <v/>
          </cell>
        </row>
        <row r="93">
          <cell r="B93" t="str">
            <v>A087</v>
          </cell>
          <cell r="C93" t="str">
            <v>00087</v>
          </cell>
          <cell r="E93" t="str">
            <v/>
          </cell>
          <cell r="G93" t="str">
            <v/>
          </cell>
          <cell r="H93" t="str">
            <v>G11</v>
          </cell>
          <cell r="I93" t="str">
            <v>G.RECIOL</v>
          </cell>
          <cell r="K93" t="str">
            <v/>
          </cell>
          <cell r="L93" t="str">
            <v>03</v>
          </cell>
          <cell r="M93" t="str">
            <v>CAV</v>
          </cell>
          <cell r="N93" t="str">
            <v>17</v>
          </cell>
          <cell r="O93" t="str">
            <v>T. FITA</v>
          </cell>
          <cell r="Q93" t="str">
            <v/>
          </cell>
        </row>
        <row r="94">
          <cell r="B94" t="str">
            <v>A088</v>
          </cell>
          <cell r="C94" t="str">
            <v>00088</v>
          </cell>
          <cell r="E94" t="str">
            <v/>
          </cell>
          <cell r="G94" t="str">
            <v/>
          </cell>
          <cell r="I94" t="str">
            <v/>
          </cell>
          <cell r="K94" t="str">
            <v/>
          </cell>
          <cell r="M94" t="str">
            <v/>
          </cell>
          <cell r="N94" t="str">
            <v>21</v>
          </cell>
          <cell r="O94" t="str">
            <v>MX-PAL. PLÁSTICO</v>
          </cell>
          <cell r="Q94" t="str">
            <v/>
          </cell>
        </row>
        <row r="95">
          <cell r="B95" t="str">
            <v>A089</v>
          </cell>
          <cell r="C95" t="str">
            <v>00089</v>
          </cell>
          <cell r="E95" t="str">
            <v/>
          </cell>
          <cell r="F95" t="str">
            <v>C7</v>
          </cell>
          <cell r="G95" t="str">
            <v>31HA1/Y1,9 FDA</v>
          </cell>
          <cell r="I95" t="str">
            <v/>
          </cell>
          <cell r="K95" t="str">
            <v/>
          </cell>
          <cell r="M95" t="str">
            <v/>
          </cell>
          <cell r="N95" t="str">
            <v>21</v>
          </cell>
          <cell r="O95" t="str">
            <v>MX-PAL. PLÁSTICO</v>
          </cell>
          <cell r="Q95" t="str">
            <v/>
          </cell>
        </row>
        <row r="96">
          <cell r="B96" t="str">
            <v>A090</v>
          </cell>
          <cell r="C96" t="str">
            <v>00090</v>
          </cell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N96" t="str">
            <v>22</v>
          </cell>
          <cell r="O96" t="str">
            <v>CILINDRICO</v>
          </cell>
          <cell r="Q96" t="str">
            <v/>
          </cell>
        </row>
        <row r="97">
          <cell r="B97" t="str">
            <v>A091</v>
          </cell>
          <cell r="C97" t="str">
            <v>00091</v>
          </cell>
          <cell r="E97" t="str">
            <v/>
          </cell>
          <cell r="G97" t="str">
            <v/>
          </cell>
          <cell r="I97" t="str">
            <v/>
          </cell>
          <cell r="K97" t="str">
            <v/>
          </cell>
          <cell r="M97" t="str">
            <v/>
          </cell>
          <cell r="N97" t="str">
            <v>23</v>
          </cell>
          <cell r="O97" t="str">
            <v>SEGURANÇA E SAIA</v>
          </cell>
          <cell r="Q97" t="str">
            <v/>
          </cell>
        </row>
        <row r="98">
          <cell r="B98" t="str">
            <v>A092</v>
          </cell>
          <cell r="C98" t="str">
            <v>00092</v>
          </cell>
          <cell r="E98" t="str">
            <v/>
          </cell>
          <cell r="G98" t="str">
            <v/>
          </cell>
          <cell r="H98" t="str">
            <v>G27</v>
          </cell>
          <cell r="I98" t="str">
            <v>G.FRIMARC</v>
          </cell>
          <cell r="K98" t="str">
            <v/>
          </cell>
          <cell r="L98" t="str">
            <v>02</v>
          </cell>
          <cell r="M98" t="str">
            <v>ASA</v>
          </cell>
          <cell r="N98" t="str">
            <v>17</v>
          </cell>
          <cell r="O98" t="str">
            <v>T. FITA</v>
          </cell>
          <cell r="Q98" t="str">
            <v/>
          </cell>
        </row>
        <row r="99">
          <cell r="B99" t="str">
            <v>A093</v>
          </cell>
          <cell r="C99" t="str">
            <v>00093</v>
          </cell>
          <cell r="E99" t="str">
            <v/>
          </cell>
          <cell r="G99" t="str">
            <v/>
          </cell>
          <cell r="I99" t="str">
            <v/>
          </cell>
          <cell r="K99" t="str">
            <v/>
          </cell>
          <cell r="M99" t="str">
            <v/>
          </cell>
          <cell r="N99" t="str">
            <v>24</v>
          </cell>
          <cell r="O99" t="str">
            <v>VERM-SF</v>
          </cell>
          <cell r="P99" t="str">
            <v>01</v>
          </cell>
          <cell r="Q99" t="str">
            <v>DRT40X30</v>
          </cell>
        </row>
        <row r="100">
          <cell r="B100" t="str">
            <v>A094</v>
          </cell>
          <cell r="C100" t="str">
            <v>00094</v>
          </cell>
          <cell r="E100" t="str">
            <v/>
          </cell>
          <cell r="G100" t="str">
            <v/>
          </cell>
          <cell r="I100" t="str">
            <v/>
          </cell>
          <cell r="K100" t="str">
            <v/>
          </cell>
          <cell r="M100" t="str">
            <v/>
          </cell>
          <cell r="N100" t="str">
            <v>24</v>
          </cell>
          <cell r="O100" t="str">
            <v>VERM-SF</v>
          </cell>
          <cell r="P100" t="str">
            <v>02</v>
          </cell>
          <cell r="Q100" t="str">
            <v>CT40</v>
          </cell>
        </row>
        <row r="101">
          <cell r="B101" t="str">
            <v>A095</v>
          </cell>
          <cell r="C101" t="str">
            <v>00095</v>
          </cell>
          <cell r="E101" t="str">
            <v/>
          </cell>
          <cell r="G101" t="str">
            <v/>
          </cell>
          <cell r="I101" t="str">
            <v/>
          </cell>
          <cell r="K101" t="str">
            <v/>
          </cell>
          <cell r="M101" t="str">
            <v/>
          </cell>
          <cell r="N101" t="str">
            <v>25</v>
          </cell>
          <cell r="O101" t="str">
            <v>VERM-VT</v>
          </cell>
          <cell r="P101" t="str">
            <v>01</v>
          </cell>
          <cell r="Q101" t="str">
            <v>DRT40X30</v>
          </cell>
        </row>
        <row r="102">
          <cell r="B102" t="str">
            <v>A096</v>
          </cell>
          <cell r="C102" t="str">
            <v>00096</v>
          </cell>
          <cell r="E102" t="str">
            <v/>
          </cell>
          <cell r="G102" t="str">
            <v/>
          </cell>
          <cell r="I102" t="str">
            <v/>
          </cell>
          <cell r="K102" t="str">
            <v/>
          </cell>
          <cell r="M102" t="str">
            <v/>
          </cell>
          <cell r="N102" t="str">
            <v>25</v>
          </cell>
          <cell r="O102" t="str">
            <v>VERM-VT</v>
          </cell>
          <cell r="P102" t="str">
            <v>02</v>
          </cell>
          <cell r="Q102" t="str">
            <v>CT40</v>
          </cell>
        </row>
        <row r="103">
          <cell r="B103" t="str">
            <v>A097</v>
          </cell>
          <cell r="C103" t="str">
            <v>00097</v>
          </cell>
          <cell r="E103" t="str">
            <v/>
          </cell>
          <cell r="G103" t="str">
            <v/>
          </cell>
          <cell r="I103" t="str">
            <v/>
          </cell>
          <cell r="K103" t="str">
            <v/>
          </cell>
          <cell r="M103" t="str">
            <v/>
          </cell>
          <cell r="N103" t="str">
            <v>24</v>
          </cell>
          <cell r="O103" t="str">
            <v>VERM-SF</v>
          </cell>
          <cell r="P103" t="str">
            <v>03</v>
          </cell>
          <cell r="Q103" t="str">
            <v>CT50</v>
          </cell>
        </row>
        <row r="104">
          <cell r="B104" t="str">
            <v>A098</v>
          </cell>
          <cell r="C104" t="str">
            <v>00098</v>
          </cell>
          <cell r="E104" t="str">
            <v/>
          </cell>
          <cell r="G104" t="str">
            <v/>
          </cell>
          <cell r="I104" t="str">
            <v/>
          </cell>
          <cell r="K104" t="str">
            <v/>
          </cell>
          <cell r="M104" t="str">
            <v/>
          </cell>
          <cell r="N104" t="str">
            <v>25</v>
          </cell>
          <cell r="O104" t="str">
            <v>VERM-VT</v>
          </cell>
          <cell r="P104" t="str">
            <v>03</v>
          </cell>
          <cell r="Q104" t="str">
            <v>CT50</v>
          </cell>
        </row>
        <row r="105">
          <cell r="B105" t="str">
            <v>A099</v>
          </cell>
          <cell r="C105" t="str">
            <v>00099</v>
          </cell>
          <cell r="E105" t="str">
            <v/>
          </cell>
          <cell r="G105" t="str">
            <v/>
          </cell>
          <cell r="I105" t="str">
            <v/>
          </cell>
          <cell r="K105" t="str">
            <v/>
          </cell>
          <cell r="M105" t="str">
            <v/>
          </cell>
          <cell r="N105" t="str">
            <v>24</v>
          </cell>
          <cell r="O105" t="str">
            <v>VERM-SF</v>
          </cell>
          <cell r="P105" t="str">
            <v>04</v>
          </cell>
          <cell r="Q105" t="str">
            <v>CT80</v>
          </cell>
        </row>
        <row r="106">
          <cell r="B106" t="str">
            <v>A100</v>
          </cell>
          <cell r="C106" t="str">
            <v>00100</v>
          </cell>
          <cell r="E106" t="str">
            <v/>
          </cell>
          <cell r="G106" t="str">
            <v/>
          </cell>
          <cell r="I106" t="str">
            <v/>
          </cell>
          <cell r="K106" t="str">
            <v/>
          </cell>
          <cell r="M106" t="str">
            <v/>
          </cell>
          <cell r="N106" t="str">
            <v>25</v>
          </cell>
          <cell r="O106" t="str">
            <v>VERM-VT</v>
          </cell>
          <cell r="P106" t="str">
            <v>04</v>
          </cell>
          <cell r="Q106" t="str">
            <v>CT80</v>
          </cell>
        </row>
        <row r="107">
          <cell r="B107" t="str">
            <v>A101</v>
          </cell>
          <cell r="C107" t="str">
            <v>00101</v>
          </cell>
          <cell r="E107" t="str">
            <v/>
          </cell>
          <cell r="G107" t="str">
            <v/>
          </cell>
          <cell r="I107" t="str">
            <v/>
          </cell>
          <cell r="K107" t="str">
            <v/>
          </cell>
          <cell r="M107" t="str">
            <v/>
          </cell>
          <cell r="N107" t="str">
            <v>25</v>
          </cell>
          <cell r="O107" t="str">
            <v>VERM-VT</v>
          </cell>
          <cell r="P107" t="str">
            <v>05</v>
          </cell>
          <cell r="Q107" t="str">
            <v>DRT30X30</v>
          </cell>
        </row>
        <row r="108">
          <cell r="B108" t="str">
            <v>A102</v>
          </cell>
          <cell r="C108" t="str">
            <v>00102</v>
          </cell>
          <cell r="E108" t="str">
            <v/>
          </cell>
          <cell r="G108" t="str">
            <v/>
          </cell>
          <cell r="I108" t="str">
            <v/>
          </cell>
          <cell r="K108" t="str">
            <v/>
          </cell>
          <cell r="M108" t="str">
            <v/>
          </cell>
          <cell r="N108" t="str">
            <v>25</v>
          </cell>
          <cell r="O108" t="str">
            <v>VERM-VT</v>
          </cell>
          <cell r="P108" t="str">
            <v>06</v>
          </cell>
          <cell r="Q108" t="str">
            <v>CT30</v>
          </cell>
        </row>
        <row r="109">
          <cell r="B109" t="str">
            <v>A103</v>
          </cell>
          <cell r="C109" t="str">
            <v>00103</v>
          </cell>
          <cell r="E109" t="str">
            <v/>
          </cell>
          <cell r="G109" t="str">
            <v/>
          </cell>
          <cell r="I109" t="str">
            <v/>
          </cell>
          <cell r="K109" t="str">
            <v/>
          </cell>
          <cell r="M109" t="str">
            <v/>
          </cell>
          <cell r="N109" t="str">
            <v>24</v>
          </cell>
          <cell r="O109" t="str">
            <v>VERM-SF</v>
          </cell>
          <cell r="P109" t="str">
            <v>05</v>
          </cell>
          <cell r="Q109" t="str">
            <v>DRT30X30</v>
          </cell>
        </row>
        <row r="110">
          <cell r="B110" t="str">
            <v>A104</v>
          </cell>
          <cell r="C110" t="str">
            <v>00104</v>
          </cell>
          <cell r="E110" t="str">
            <v/>
          </cell>
          <cell r="G110" t="str">
            <v/>
          </cell>
          <cell r="I110" t="str">
            <v/>
          </cell>
          <cell r="K110" t="str">
            <v/>
          </cell>
          <cell r="M110" t="str">
            <v/>
          </cell>
          <cell r="N110" t="str">
            <v>24</v>
          </cell>
          <cell r="O110" t="str">
            <v>VERM-SF</v>
          </cell>
          <cell r="P110" t="str">
            <v>06</v>
          </cell>
          <cell r="Q110" t="str">
            <v>CT30</v>
          </cell>
        </row>
        <row r="111">
          <cell r="B111" t="str">
            <v>A105</v>
          </cell>
          <cell r="C111" t="str">
            <v>00105</v>
          </cell>
          <cell r="E111" t="str">
            <v/>
          </cell>
          <cell r="G111" t="str">
            <v/>
          </cell>
          <cell r="I111" t="str">
            <v/>
          </cell>
          <cell r="K111" t="str">
            <v/>
          </cell>
          <cell r="M111" t="str">
            <v/>
          </cell>
          <cell r="N111" t="str">
            <v>25</v>
          </cell>
          <cell r="O111" t="str">
            <v>VERM-VT</v>
          </cell>
          <cell r="P111" t="str">
            <v>07</v>
          </cell>
          <cell r="Q111" t="str">
            <v>ESQ30X30</v>
          </cell>
        </row>
        <row r="112">
          <cell r="B112" t="str">
            <v>A106</v>
          </cell>
          <cell r="C112" t="str">
            <v>00106</v>
          </cell>
          <cell r="E112" t="str">
            <v/>
          </cell>
          <cell r="G112" t="str">
            <v/>
          </cell>
          <cell r="I112" t="str">
            <v/>
          </cell>
          <cell r="K112" t="str">
            <v/>
          </cell>
          <cell r="M112" t="str">
            <v/>
          </cell>
          <cell r="N112" t="str">
            <v>24</v>
          </cell>
          <cell r="O112" t="str">
            <v>VERM-SF</v>
          </cell>
          <cell r="P112" t="str">
            <v>07</v>
          </cell>
          <cell r="Q112" t="str">
            <v>ESQ30X30</v>
          </cell>
        </row>
        <row r="113">
          <cell r="B113" t="str">
            <v>A107</v>
          </cell>
          <cell r="C113" t="str">
            <v>00107</v>
          </cell>
          <cell r="E113" t="str">
            <v/>
          </cell>
          <cell r="G113" t="str">
            <v/>
          </cell>
          <cell r="H113" t="str">
            <v>G28</v>
          </cell>
          <cell r="I113" t="str">
            <v>G.OLEOTORRES</v>
          </cell>
          <cell r="K113" t="str">
            <v/>
          </cell>
          <cell r="L113" t="str">
            <v>02</v>
          </cell>
          <cell r="M113" t="str">
            <v>ASA</v>
          </cell>
          <cell r="N113" t="str">
            <v>26</v>
          </cell>
          <cell r="O113" t="str">
            <v>C/ CHIP</v>
          </cell>
          <cell r="Q113" t="str">
            <v/>
          </cell>
        </row>
        <row r="114">
          <cell r="B114" t="str">
            <v>A108</v>
          </cell>
          <cell r="C114" t="str">
            <v>00108</v>
          </cell>
          <cell r="E114" t="str">
            <v/>
          </cell>
          <cell r="G114" t="str">
            <v/>
          </cell>
          <cell r="H114" t="str">
            <v>G6</v>
          </cell>
          <cell r="I114" t="str">
            <v>G.RAHERSA</v>
          </cell>
          <cell r="K114" t="str">
            <v/>
          </cell>
          <cell r="L114" t="str">
            <v>03</v>
          </cell>
          <cell r="M114" t="str">
            <v>CAV</v>
          </cell>
          <cell r="O114" t="str">
            <v/>
          </cell>
          <cell r="Q114" t="str">
            <v/>
          </cell>
        </row>
        <row r="115">
          <cell r="B115" t="str">
            <v>A109</v>
          </cell>
          <cell r="C115" t="str">
            <v>00109</v>
          </cell>
          <cell r="E115" t="str">
            <v/>
          </cell>
          <cell r="G115" t="str">
            <v/>
          </cell>
          <cell r="H115" t="str">
            <v>G21</v>
          </cell>
          <cell r="I115" t="str">
            <v>G.PUMARIEGA</v>
          </cell>
          <cell r="K115" t="str">
            <v/>
          </cell>
          <cell r="L115" t="str">
            <v>02</v>
          </cell>
          <cell r="M115" t="str">
            <v>ASA</v>
          </cell>
          <cell r="O115" t="str">
            <v/>
          </cell>
          <cell r="Q115" t="str">
            <v/>
          </cell>
        </row>
        <row r="116">
          <cell r="B116" t="str">
            <v>A110</v>
          </cell>
          <cell r="C116" t="str">
            <v>00110</v>
          </cell>
          <cell r="E116" t="str">
            <v/>
          </cell>
          <cell r="G116" t="str">
            <v/>
          </cell>
          <cell r="I116" t="str">
            <v/>
          </cell>
          <cell r="K116" t="str">
            <v/>
          </cell>
          <cell r="M116" t="str">
            <v/>
          </cell>
          <cell r="N116" t="str">
            <v>24</v>
          </cell>
          <cell r="O116" t="str">
            <v>VERM-SF</v>
          </cell>
          <cell r="P116" t="str">
            <v>08</v>
          </cell>
          <cell r="Q116" t="str">
            <v>CT100</v>
          </cell>
        </row>
        <row r="117">
          <cell r="B117" t="str">
            <v>A111</v>
          </cell>
          <cell r="C117" t="str">
            <v>00111</v>
          </cell>
          <cell r="E117" t="str">
            <v/>
          </cell>
          <cell r="G117" t="str">
            <v/>
          </cell>
          <cell r="I117" t="str">
            <v/>
          </cell>
          <cell r="K117" t="str">
            <v/>
          </cell>
          <cell r="M117" t="str">
            <v/>
          </cell>
          <cell r="N117" t="str">
            <v>25</v>
          </cell>
          <cell r="O117" t="str">
            <v>VERM-VT</v>
          </cell>
          <cell r="P117" t="str">
            <v>08</v>
          </cell>
          <cell r="Q117" t="str">
            <v>CT100</v>
          </cell>
        </row>
        <row r="118">
          <cell r="B118" t="str">
            <v>A112</v>
          </cell>
          <cell r="C118" t="str">
            <v>00112</v>
          </cell>
          <cell r="E118" t="str">
            <v/>
          </cell>
          <cell r="G118" t="str">
            <v/>
          </cell>
          <cell r="H118" t="str">
            <v>G29</v>
          </cell>
          <cell r="I118" t="str">
            <v>G.RECICLIMPA</v>
          </cell>
          <cell r="K118" t="str">
            <v/>
          </cell>
          <cell r="L118" t="str">
            <v>02</v>
          </cell>
          <cell r="M118" t="str">
            <v>ASA</v>
          </cell>
          <cell r="N118" t="str">
            <v>18</v>
          </cell>
          <cell r="O118" t="str">
            <v>T. CALHA</v>
          </cell>
          <cell r="Q118" t="str">
            <v/>
          </cell>
        </row>
        <row r="119">
          <cell r="B119" t="str">
            <v>A113</v>
          </cell>
          <cell r="C119" t="str">
            <v>00113</v>
          </cell>
          <cell r="E119" t="str">
            <v/>
          </cell>
          <cell r="G119" t="str">
            <v/>
          </cell>
          <cell r="I119" t="str">
            <v/>
          </cell>
          <cell r="K119" t="str">
            <v/>
          </cell>
          <cell r="M119" t="str">
            <v/>
          </cell>
          <cell r="N119" t="str">
            <v>27</v>
          </cell>
          <cell r="O119" t="str">
            <v>C/ TORNEIRA</v>
          </cell>
          <cell r="Q119" t="str">
            <v/>
          </cell>
        </row>
        <row r="120">
          <cell r="B120" t="str">
            <v>A114</v>
          </cell>
          <cell r="C120" t="str">
            <v>00114</v>
          </cell>
          <cell r="E120" t="str">
            <v/>
          </cell>
          <cell r="F120" t="str">
            <v>C1</v>
          </cell>
          <cell r="G120" t="str">
            <v>3H1/Y1,2</v>
          </cell>
          <cell r="I120" t="str">
            <v/>
          </cell>
          <cell r="K120" t="str">
            <v/>
          </cell>
          <cell r="M120" t="str">
            <v/>
          </cell>
          <cell r="N120" t="str">
            <v>28</v>
          </cell>
          <cell r="O120" t="str">
            <v>T. ROSCA Ø50</v>
          </cell>
          <cell r="Q120" t="str">
            <v/>
          </cell>
        </row>
        <row r="121">
          <cell r="B121" t="str">
            <v>A115</v>
          </cell>
          <cell r="C121" t="str">
            <v>00115</v>
          </cell>
          <cell r="E121" t="str">
            <v/>
          </cell>
          <cell r="G121" t="str">
            <v/>
          </cell>
          <cell r="I121" t="str">
            <v/>
          </cell>
          <cell r="K121" t="str">
            <v/>
          </cell>
          <cell r="M121" t="str">
            <v/>
          </cell>
          <cell r="N121" t="str">
            <v>25</v>
          </cell>
          <cell r="O121" t="str">
            <v>VERM-VT</v>
          </cell>
          <cell r="P121" t="str">
            <v>09</v>
          </cell>
          <cell r="Q121" t="str">
            <v>CT60</v>
          </cell>
        </row>
        <row r="122">
          <cell r="B122" t="str">
            <v>A116</v>
          </cell>
          <cell r="C122" t="str">
            <v>00116</v>
          </cell>
          <cell r="E122" t="str">
            <v/>
          </cell>
          <cell r="G122" t="str">
            <v/>
          </cell>
          <cell r="I122" t="str">
            <v/>
          </cell>
          <cell r="J122" t="str">
            <v>A3</v>
          </cell>
          <cell r="K122" t="str">
            <v>A.LARA PASTEUR. CONG.</v>
          </cell>
          <cell r="M122" t="str">
            <v/>
          </cell>
          <cell r="O122" t="str">
            <v/>
          </cell>
          <cell r="Q122" t="str">
            <v/>
          </cell>
        </row>
        <row r="123">
          <cell r="B123" t="str">
            <v>A117</v>
          </cell>
          <cell r="C123" t="str">
            <v>00117</v>
          </cell>
          <cell r="E123" t="str">
            <v/>
          </cell>
          <cell r="F123" t="str">
            <v>C4</v>
          </cell>
          <cell r="G123" t="str">
            <v>3H1/Y1,9</v>
          </cell>
          <cell r="I123" t="str">
            <v/>
          </cell>
          <cell r="K123" t="str">
            <v/>
          </cell>
          <cell r="M123" t="str">
            <v/>
          </cell>
          <cell r="N123" t="str">
            <v>05</v>
          </cell>
          <cell r="O123" t="str">
            <v>EMPILHAVEL</v>
          </cell>
          <cell r="Q123" t="str">
            <v/>
          </cell>
        </row>
        <row r="124">
          <cell r="B124" t="str">
            <v>A118</v>
          </cell>
          <cell r="C124" t="str">
            <v>00118</v>
          </cell>
          <cell r="E124" t="str">
            <v/>
          </cell>
          <cell r="G124" t="str">
            <v/>
          </cell>
          <cell r="H124" t="str">
            <v>G17</v>
          </cell>
          <cell r="I124" t="str">
            <v>G.PROIN</v>
          </cell>
          <cell r="K124" t="str">
            <v/>
          </cell>
          <cell r="M124" t="str">
            <v/>
          </cell>
          <cell r="N124" t="str">
            <v>29</v>
          </cell>
          <cell r="O124" t="str">
            <v>S/ TUBO C/ PEÇAS INJ.</v>
          </cell>
          <cell r="Q124" t="str">
            <v/>
          </cell>
        </row>
        <row r="125">
          <cell r="B125" t="str">
            <v>A119</v>
          </cell>
          <cell r="C125" t="str">
            <v>00119</v>
          </cell>
          <cell r="E125" t="str">
            <v/>
          </cell>
          <cell r="G125" t="str">
            <v/>
          </cell>
          <cell r="I125" t="str">
            <v/>
          </cell>
          <cell r="K125" t="str">
            <v/>
          </cell>
          <cell r="M125" t="str">
            <v/>
          </cell>
          <cell r="N125" t="str">
            <v>30</v>
          </cell>
          <cell r="O125" t="str">
            <v>REDONDO (PEBD)</v>
          </cell>
          <cell r="Q125" t="str">
            <v/>
          </cell>
        </row>
        <row r="126">
          <cell r="B126" t="str">
            <v>A120</v>
          </cell>
          <cell r="C126" t="str">
            <v>00120</v>
          </cell>
          <cell r="E126" t="str">
            <v/>
          </cell>
          <cell r="G126" t="str">
            <v/>
          </cell>
          <cell r="I126" t="str">
            <v/>
          </cell>
          <cell r="K126" t="str">
            <v/>
          </cell>
          <cell r="M126" t="str">
            <v/>
          </cell>
          <cell r="N126" t="str">
            <v>16</v>
          </cell>
          <cell r="O126" t="str">
            <v>P/ PULVERIZADOR</v>
          </cell>
          <cell r="Q126" t="str">
            <v/>
          </cell>
        </row>
        <row r="127">
          <cell r="B127" t="str">
            <v>A121</v>
          </cell>
          <cell r="C127" t="str">
            <v>00121</v>
          </cell>
          <cell r="E127" t="str">
            <v/>
          </cell>
          <cell r="G127" t="str">
            <v/>
          </cell>
          <cell r="H127" t="str">
            <v>G8</v>
          </cell>
          <cell r="I127" t="str">
            <v>G.AMBIOLEO</v>
          </cell>
          <cell r="K127" t="str">
            <v/>
          </cell>
          <cell r="L127" t="str">
            <v>02</v>
          </cell>
          <cell r="M127" t="str">
            <v>ASA</v>
          </cell>
          <cell r="O127" t="str">
            <v/>
          </cell>
          <cell r="Q127" t="str">
            <v/>
          </cell>
        </row>
        <row r="128">
          <cell r="B128" t="str">
            <v>A122</v>
          </cell>
          <cell r="C128" t="str">
            <v>00122</v>
          </cell>
          <cell r="D128" t="str">
            <v>P15</v>
          </cell>
          <cell r="E128" t="str">
            <v>360G</v>
          </cell>
          <cell r="F128" t="str">
            <v>C4</v>
          </cell>
          <cell r="G128" t="str">
            <v>3H1/Y1,9</v>
          </cell>
          <cell r="I128" t="str">
            <v/>
          </cell>
          <cell r="K128" t="str">
            <v/>
          </cell>
          <cell r="M128" t="str">
            <v/>
          </cell>
          <cell r="O128" t="str">
            <v/>
          </cell>
          <cell r="Q128" t="str">
            <v/>
          </cell>
        </row>
        <row r="129">
          <cell r="B129" t="str">
            <v>A123</v>
          </cell>
          <cell r="C129" t="str">
            <v>00123</v>
          </cell>
          <cell r="E129" t="str">
            <v/>
          </cell>
          <cell r="G129" t="str">
            <v/>
          </cell>
          <cell r="I129" t="str">
            <v/>
          </cell>
          <cell r="K129" t="str">
            <v/>
          </cell>
          <cell r="M129" t="str">
            <v/>
          </cell>
          <cell r="N129" t="str">
            <v>31</v>
          </cell>
          <cell r="O129" t="str">
            <v>CILINDRICO P/ PÓ</v>
          </cell>
          <cell r="Q129" t="str">
            <v/>
          </cell>
        </row>
        <row r="130">
          <cell r="B130" t="str">
            <v>A124</v>
          </cell>
          <cell r="C130" t="str">
            <v>00124</v>
          </cell>
          <cell r="E130" t="str">
            <v/>
          </cell>
          <cell r="G130" t="str">
            <v/>
          </cell>
          <cell r="I130" t="str">
            <v/>
          </cell>
          <cell r="K130" t="str">
            <v/>
          </cell>
          <cell r="M130" t="str">
            <v/>
          </cell>
          <cell r="N130" t="str">
            <v>32</v>
          </cell>
          <cell r="O130" t="str">
            <v>CIF</v>
          </cell>
          <cell r="Q130" t="str">
            <v/>
          </cell>
        </row>
        <row r="131">
          <cell r="B131" t="str">
            <v>A125</v>
          </cell>
          <cell r="C131" t="str">
            <v>00125</v>
          </cell>
          <cell r="E131" t="str">
            <v/>
          </cell>
          <cell r="G131" t="str">
            <v/>
          </cell>
          <cell r="I131" t="str">
            <v/>
          </cell>
          <cell r="K131" t="str">
            <v/>
          </cell>
          <cell r="M131" t="str">
            <v/>
          </cell>
          <cell r="N131" t="str">
            <v>33</v>
          </cell>
          <cell r="O131" t="str">
            <v>ELPO VR-PRT DSS</v>
          </cell>
          <cell r="P131" t="str">
            <v>09</v>
          </cell>
          <cell r="Q131" t="str">
            <v>CT60</v>
          </cell>
        </row>
        <row r="132">
          <cell r="B132" t="str">
            <v>A126</v>
          </cell>
          <cell r="C132" t="str">
            <v>00126</v>
          </cell>
          <cell r="D132" t="str">
            <v>P16</v>
          </cell>
          <cell r="E132" t="str">
            <v>390G</v>
          </cell>
          <cell r="G132" t="str">
            <v/>
          </cell>
          <cell r="I132" t="str">
            <v/>
          </cell>
          <cell r="K132" t="str">
            <v/>
          </cell>
          <cell r="M132" t="str">
            <v/>
          </cell>
          <cell r="O132" t="str">
            <v/>
          </cell>
          <cell r="Q132" t="str">
            <v/>
          </cell>
        </row>
        <row r="133">
          <cell r="B133" t="str">
            <v>A127</v>
          </cell>
          <cell r="C133" t="str">
            <v>00127</v>
          </cell>
          <cell r="D133" t="str">
            <v>P17</v>
          </cell>
          <cell r="E133" t="str">
            <v>400G</v>
          </cell>
          <cell r="G133" t="str">
            <v/>
          </cell>
          <cell r="I133" t="str">
            <v/>
          </cell>
          <cell r="K133" t="str">
            <v/>
          </cell>
          <cell r="M133" t="str">
            <v/>
          </cell>
          <cell r="O133" t="str">
            <v/>
          </cell>
          <cell r="Q133" t="str">
            <v/>
          </cell>
        </row>
        <row r="134">
          <cell r="B134" t="str">
            <v>A128</v>
          </cell>
          <cell r="C134" t="str">
            <v>00128</v>
          </cell>
          <cell r="D134" t="str">
            <v>P18</v>
          </cell>
          <cell r="E134" t="str">
            <v>500G</v>
          </cell>
          <cell r="F134" t="str">
            <v>C4</v>
          </cell>
          <cell r="G134" t="str">
            <v>3H1/Y1,9</v>
          </cell>
          <cell r="I134" t="str">
            <v/>
          </cell>
          <cell r="K134" t="str">
            <v/>
          </cell>
          <cell r="M134" t="str">
            <v/>
          </cell>
          <cell r="O134" t="str">
            <v/>
          </cell>
          <cell r="Q134" t="str">
            <v/>
          </cell>
        </row>
        <row r="135">
          <cell r="B135" t="str">
            <v>A129</v>
          </cell>
          <cell r="C135" t="str">
            <v>00129</v>
          </cell>
          <cell r="D135" t="str">
            <v>P19</v>
          </cell>
          <cell r="E135" t="str">
            <v>650G</v>
          </cell>
          <cell r="F135" t="str">
            <v>C4</v>
          </cell>
          <cell r="G135" t="str">
            <v>3H1/Y1,9</v>
          </cell>
          <cell r="I135" t="str">
            <v/>
          </cell>
          <cell r="K135" t="str">
            <v/>
          </cell>
          <cell r="M135" t="str">
            <v/>
          </cell>
          <cell r="O135" t="str">
            <v/>
          </cell>
          <cell r="Q135" t="str">
            <v/>
          </cell>
        </row>
        <row r="136">
          <cell r="B136" t="str">
            <v>A130</v>
          </cell>
          <cell r="C136" t="str">
            <v>00130</v>
          </cell>
          <cell r="D136" t="str">
            <v>P4</v>
          </cell>
          <cell r="E136" t="str">
            <v>1250G</v>
          </cell>
          <cell r="G136" t="str">
            <v/>
          </cell>
          <cell r="I136" t="str">
            <v/>
          </cell>
          <cell r="K136" t="str">
            <v/>
          </cell>
          <cell r="M136" t="str">
            <v/>
          </cell>
          <cell r="N136" t="str">
            <v>28</v>
          </cell>
          <cell r="O136" t="str">
            <v>T. ROSCA Ø50</v>
          </cell>
          <cell r="Q136" t="str">
            <v/>
          </cell>
        </row>
        <row r="137">
          <cell r="B137" t="str">
            <v>A131</v>
          </cell>
          <cell r="C137" t="str">
            <v>00131</v>
          </cell>
          <cell r="E137" t="str">
            <v/>
          </cell>
          <cell r="G137" t="str">
            <v/>
          </cell>
          <cell r="I137" t="str">
            <v/>
          </cell>
          <cell r="K137" t="str">
            <v/>
          </cell>
          <cell r="M137" t="str">
            <v/>
          </cell>
          <cell r="N137" t="str">
            <v>24</v>
          </cell>
          <cell r="O137" t="str">
            <v>VERM-SF</v>
          </cell>
          <cell r="P137" t="str">
            <v>09</v>
          </cell>
          <cell r="Q137" t="str">
            <v>CT60</v>
          </cell>
        </row>
        <row r="138">
          <cell r="B138" t="str">
            <v>A132</v>
          </cell>
          <cell r="C138" t="str">
            <v>00132</v>
          </cell>
          <cell r="E138" t="str">
            <v/>
          </cell>
          <cell r="G138" t="str">
            <v/>
          </cell>
          <cell r="I138" t="str">
            <v/>
          </cell>
          <cell r="K138" t="str">
            <v/>
          </cell>
          <cell r="M138" t="str">
            <v/>
          </cell>
          <cell r="O138" t="str">
            <v/>
          </cell>
          <cell r="P138" t="str">
            <v>10</v>
          </cell>
          <cell r="Q138" t="str">
            <v>P/ JERRYCAN</v>
          </cell>
        </row>
        <row r="139">
          <cell r="B139" t="str">
            <v>A133</v>
          </cell>
          <cell r="C139" t="str">
            <v>00133</v>
          </cell>
          <cell r="E139" t="str">
            <v/>
          </cell>
          <cell r="G139" t="str">
            <v/>
          </cell>
          <cell r="I139" t="str">
            <v/>
          </cell>
          <cell r="K139" t="str">
            <v/>
          </cell>
          <cell r="M139" t="str">
            <v/>
          </cell>
          <cell r="N139" t="str">
            <v>10</v>
          </cell>
          <cell r="O139" t="str">
            <v>(ANTIGO)</v>
          </cell>
          <cell r="Q139" t="str">
            <v/>
          </cell>
        </row>
        <row r="140">
          <cell r="B140" t="str">
            <v>A134</v>
          </cell>
          <cell r="C140" t="str">
            <v>00134</v>
          </cell>
          <cell r="E140" t="str">
            <v/>
          </cell>
          <cell r="G140" t="str">
            <v/>
          </cell>
          <cell r="I140" t="str">
            <v/>
          </cell>
          <cell r="K140" t="str">
            <v/>
          </cell>
          <cell r="M140" t="str">
            <v/>
          </cell>
          <cell r="N140" t="str">
            <v>34</v>
          </cell>
          <cell r="O140" t="str">
            <v>VERM-IT</v>
          </cell>
          <cell r="P140" t="str">
            <v>05</v>
          </cell>
          <cell r="Q140" t="str">
            <v>DRT30X30</v>
          </cell>
        </row>
        <row r="141">
          <cell r="B141" t="str">
            <v>A135</v>
          </cell>
          <cell r="C141" t="str">
            <v>00135</v>
          </cell>
          <cell r="E141" t="str">
            <v/>
          </cell>
          <cell r="G141" t="str">
            <v/>
          </cell>
          <cell r="I141" t="str">
            <v/>
          </cell>
          <cell r="K141" t="str">
            <v/>
          </cell>
          <cell r="M141" t="str">
            <v/>
          </cell>
          <cell r="N141" t="str">
            <v>34</v>
          </cell>
          <cell r="O141" t="str">
            <v>VERM-IT</v>
          </cell>
          <cell r="P141" t="str">
            <v>06</v>
          </cell>
          <cell r="Q141" t="str">
            <v>CT30</v>
          </cell>
        </row>
        <row r="142">
          <cell r="B142" t="str">
            <v>A136</v>
          </cell>
          <cell r="C142" t="str">
            <v>00136</v>
          </cell>
          <cell r="E142" t="str">
            <v/>
          </cell>
          <cell r="G142" t="str">
            <v/>
          </cell>
          <cell r="I142" t="str">
            <v/>
          </cell>
          <cell r="K142" t="str">
            <v/>
          </cell>
          <cell r="M142" t="str">
            <v/>
          </cell>
          <cell r="N142" t="str">
            <v>35</v>
          </cell>
          <cell r="O142" t="str">
            <v>TAMPA</v>
          </cell>
          <cell r="Q142" t="str">
            <v/>
          </cell>
        </row>
        <row r="143">
          <cell r="B143" t="str">
            <v>A137</v>
          </cell>
          <cell r="C143" t="str">
            <v>00137</v>
          </cell>
          <cell r="E143" t="str">
            <v/>
          </cell>
          <cell r="G143" t="str">
            <v/>
          </cell>
          <cell r="I143" t="str">
            <v/>
          </cell>
          <cell r="J143" t="str">
            <v>A4</v>
          </cell>
          <cell r="K143" t="str">
            <v>A.LARA PAST. DESCONG.</v>
          </cell>
          <cell r="M143" t="str">
            <v/>
          </cell>
          <cell r="O143" t="str">
            <v/>
          </cell>
          <cell r="Q143" t="str">
            <v/>
          </cell>
        </row>
        <row r="144">
          <cell r="B144" t="str">
            <v>A138</v>
          </cell>
          <cell r="C144" t="str">
            <v>00138</v>
          </cell>
          <cell r="D144" t="str">
            <v>P3</v>
          </cell>
          <cell r="E144" t="str">
            <v>1200G</v>
          </cell>
          <cell r="F144" t="str">
            <v>C1</v>
          </cell>
          <cell r="G144" t="str">
            <v>3H1/Y1,2</v>
          </cell>
          <cell r="I144" t="str">
            <v/>
          </cell>
          <cell r="K144" t="str">
            <v/>
          </cell>
          <cell r="M144" t="str">
            <v/>
          </cell>
          <cell r="O144" t="str">
            <v/>
          </cell>
          <cell r="Q144" t="str">
            <v/>
          </cell>
        </row>
        <row r="145">
          <cell r="B145" t="str">
            <v>A139</v>
          </cell>
          <cell r="C145" t="str">
            <v>00139</v>
          </cell>
          <cell r="E145" t="str">
            <v/>
          </cell>
          <cell r="G145" t="str">
            <v/>
          </cell>
          <cell r="H145" t="str">
            <v>G8</v>
          </cell>
          <cell r="I145" t="str">
            <v>G.AMBIOLEO</v>
          </cell>
          <cell r="K145" t="str">
            <v/>
          </cell>
          <cell r="L145" t="str">
            <v>02</v>
          </cell>
          <cell r="M145" t="str">
            <v>ASA</v>
          </cell>
          <cell r="N145" t="str">
            <v>18</v>
          </cell>
          <cell r="O145" t="str">
            <v>T. CALHA</v>
          </cell>
          <cell r="Q145" t="str">
            <v/>
          </cell>
        </row>
        <row r="146">
          <cell r="B146" t="str">
            <v>A140</v>
          </cell>
          <cell r="C146" t="str">
            <v>00140</v>
          </cell>
          <cell r="E146" t="str">
            <v/>
          </cell>
          <cell r="F146" t="str">
            <v>C8</v>
          </cell>
          <cell r="G146" t="str">
            <v>31HA1/Y</v>
          </cell>
          <cell r="I146" t="str">
            <v/>
          </cell>
          <cell r="K146" t="str">
            <v/>
          </cell>
          <cell r="M146" t="str">
            <v/>
          </cell>
          <cell r="N146" t="str">
            <v>36</v>
          </cell>
          <cell r="O146" t="str">
            <v>FSSC MX-PAL. P</v>
          </cell>
          <cell r="Q146" t="str">
            <v/>
          </cell>
        </row>
        <row r="147">
          <cell r="B147" t="str">
            <v>A141</v>
          </cell>
          <cell r="C147" t="str">
            <v>00141</v>
          </cell>
          <cell r="E147" t="str">
            <v/>
          </cell>
          <cell r="F147" t="str">
            <v>C8</v>
          </cell>
          <cell r="G147" t="str">
            <v>31HA1/Y</v>
          </cell>
          <cell r="I147" t="str">
            <v/>
          </cell>
          <cell r="K147" t="str">
            <v/>
          </cell>
          <cell r="M147" t="str">
            <v/>
          </cell>
          <cell r="N147" t="str">
            <v>37</v>
          </cell>
          <cell r="O147" t="str">
            <v>FSSC SX-Ex -METAL</v>
          </cell>
          <cell r="Q147" t="str">
            <v/>
          </cell>
        </row>
        <row r="148">
          <cell r="B148" t="str">
            <v>A142</v>
          </cell>
          <cell r="C148" t="str">
            <v>00142</v>
          </cell>
          <cell r="E148" t="str">
            <v/>
          </cell>
          <cell r="F148" t="str">
            <v>C8</v>
          </cell>
          <cell r="G148" t="str">
            <v>31HA1/Y</v>
          </cell>
          <cell r="I148" t="str">
            <v/>
          </cell>
          <cell r="K148" t="str">
            <v/>
          </cell>
          <cell r="M148" t="str">
            <v/>
          </cell>
          <cell r="N148" t="str">
            <v>38</v>
          </cell>
          <cell r="O148" t="str">
            <v>FDA LX-PAL. M</v>
          </cell>
          <cell r="Q148" t="str">
            <v/>
          </cell>
        </row>
        <row r="149">
          <cell r="B149" t="str">
            <v>A143</v>
          </cell>
          <cell r="C149" t="str">
            <v>00143</v>
          </cell>
          <cell r="E149" t="str">
            <v/>
          </cell>
          <cell r="F149" t="str">
            <v>C8</v>
          </cell>
          <cell r="G149" t="str">
            <v>31HA1/Y</v>
          </cell>
          <cell r="I149" t="str">
            <v/>
          </cell>
          <cell r="K149" t="str">
            <v/>
          </cell>
          <cell r="M149" t="str">
            <v/>
          </cell>
          <cell r="N149" t="str">
            <v>39</v>
          </cell>
          <cell r="O149" t="str">
            <v>FDA MX-PAL. P</v>
          </cell>
          <cell r="Q149" t="str">
            <v/>
          </cell>
        </row>
        <row r="150">
          <cell r="B150" t="str">
            <v>A144</v>
          </cell>
          <cell r="C150" t="str">
            <v>00144</v>
          </cell>
          <cell r="E150" t="str">
            <v/>
          </cell>
          <cell r="G150" t="str">
            <v/>
          </cell>
          <cell r="H150" t="str">
            <v>G12</v>
          </cell>
          <cell r="I150" t="str">
            <v>G.HOVIONE</v>
          </cell>
          <cell r="K150" t="str">
            <v/>
          </cell>
          <cell r="L150" t="str">
            <v>02</v>
          </cell>
          <cell r="M150" t="str">
            <v>ASA</v>
          </cell>
          <cell r="N150" t="str">
            <v>40</v>
          </cell>
          <cell r="O150" t="str">
            <v>T. CALHA PAL 60</v>
          </cell>
          <cell r="Q150" t="str">
            <v/>
          </cell>
        </row>
        <row r="151">
          <cell r="B151" t="str">
            <v>A145</v>
          </cell>
          <cell r="C151" t="str">
            <v>00145</v>
          </cell>
          <cell r="E151" t="str">
            <v/>
          </cell>
          <cell r="G151" t="str">
            <v/>
          </cell>
          <cell r="H151" t="str">
            <v>G17</v>
          </cell>
          <cell r="I151" t="str">
            <v>G.PROIN</v>
          </cell>
          <cell r="K151" t="str">
            <v/>
          </cell>
          <cell r="M151" t="str">
            <v/>
          </cell>
          <cell r="N151" t="str">
            <v>07</v>
          </cell>
          <cell r="O151" t="str">
            <v>COM CHAPA</v>
          </cell>
          <cell r="Q151" t="str">
            <v/>
          </cell>
        </row>
        <row r="152">
          <cell r="B152" t="str">
            <v>A146</v>
          </cell>
          <cell r="C152" t="str">
            <v>00146</v>
          </cell>
          <cell r="E152" t="str">
            <v/>
          </cell>
          <cell r="G152" t="str">
            <v/>
          </cell>
          <cell r="H152" t="str">
            <v>G17</v>
          </cell>
          <cell r="I152" t="str">
            <v>G.PROIN</v>
          </cell>
          <cell r="K152" t="str">
            <v/>
          </cell>
          <cell r="M152" t="str">
            <v/>
          </cell>
          <cell r="N152" t="str">
            <v>08</v>
          </cell>
          <cell r="O152" t="str">
            <v>PARA BASE</v>
          </cell>
          <cell r="Q152" t="str">
            <v/>
          </cell>
        </row>
        <row r="153">
          <cell r="B153" t="str">
            <v>A147</v>
          </cell>
          <cell r="C153" t="str">
            <v>00147</v>
          </cell>
          <cell r="E153" t="str">
            <v/>
          </cell>
          <cell r="G153" t="str">
            <v/>
          </cell>
          <cell r="H153" t="str">
            <v>G17</v>
          </cell>
          <cell r="I153" t="str">
            <v>G.PROIN</v>
          </cell>
          <cell r="K153" t="str">
            <v/>
          </cell>
          <cell r="M153" t="str">
            <v/>
          </cell>
          <cell r="N153" t="str">
            <v>41</v>
          </cell>
          <cell r="O153" t="str">
            <v>C/ 2 PEÇAS INJ</v>
          </cell>
          <cell r="Q153" t="str">
            <v/>
          </cell>
        </row>
        <row r="154">
          <cell r="B154" t="str">
            <v>A148</v>
          </cell>
          <cell r="C154" t="str">
            <v>00148</v>
          </cell>
          <cell r="E154" t="str">
            <v/>
          </cell>
          <cell r="G154" t="str">
            <v/>
          </cell>
          <cell r="I154" t="str">
            <v/>
          </cell>
          <cell r="K154" t="str">
            <v/>
          </cell>
          <cell r="M154" t="str">
            <v/>
          </cell>
          <cell r="N154" t="str">
            <v>42</v>
          </cell>
          <cell r="O154" t="str">
            <v>SEM VEDANTE</v>
          </cell>
          <cell r="Q154" t="str">
            <v/>
          </cell>
        </row>
        <row r="155">
          <cell r="B155" t="str">
            <v>A149</v>
          </cell>
          <cell r="C155" t="str">
            <v>00149</v>
          </cell>
          <cell r="E155" t="str">
            <v/>
          </cell>
          <cell r="G155" t="str">
            <v/>
          </cell>
          <cell r="I155" t="str">
            <v/>
          </cell>
          <cell r="K155" t="str">
            <v/>
          </cell>
          <cell r="M155" t="str">
            <v/>
          </cell>
          <cell r="N155" t="str">
            <v>33</v>
          </cell>
          <cell r="O155" t="str">
            <v>ELPO VR-PRT DSS</v>
          </cell>
          <cell r="P155" t="str">
            <v>09</v>
          </cell>
          <cell r="Q155" t="str">
            <v>CT60</v>
          </cell>
        </row>
        <row r="156">
          <cell r="B156" t="str">
            <v>A150</v>
          </cell>
          <cell r="C156" t="str">
            <v>00150</v>
          </cell>
          <cell r="E156" t="str">
            <v/>
          </cell>
          <cell r="G156" t="str">
            <v/>
          </cell>
          <cell r="I156" t="str">
            <v/>
          </cell>
          <cell r="J156" t="str">
            <v>A5</v>
          </cell>
          <cell r="K156" t="str">
            <v>A.ATRIAN CONGELADO</v>
          </cell>
          <cell r="M156" t="str">
            <v/>
          </cell>
          <cell r="O156" t="str">
            <v/>
          </cell>
          <cell r="Q156" t="str">
            <v/>
          </cell>
        </row>
        <row r="157">
          <cell r="B157" t="str">
            <v>A151</v>
          </cell>
          <cell r="C157" t="str">
            <v>00151</v>
          </cell>
          <cell r="E157" t="str">
            <v/>
          </cell>
          <cell r="G157" t="str">
            <v/>
          </cell>
          <cell r="I157" t="str">
            <v/>
          </cell>
          <cell r="J157" t="str">
            <v>A6</v>
          </cell>
          <cell r="K157" t="str">
            <v>A.ATRIAN PASTEUR. CONG</v>
          </cell>
          <cell r="M157" t="str">
            <v/>
          </cell>
          <cell r="O157" t="str">
            <v/>
          </cell>
          <cell r="Q157" t="str">
            <v/>
          </cell>
        </row>
        <row r="158">
          <cell r="B158" t="str">
            <v>A152</v>
          </cell>
          <cell r="C158" t="str">
            <v>00152</v>
          </cell>
          <cell r="E158" t="str">
            <v/>
          </cell>
          <cell r="G158" t="str">
            <v/>
          </cell>
          <cell r="I158" t="str">
            <v/>
          </cell>
          <cell r="K158" t="str">
            <v/>
          </cell>
          <cell r="M158" t="str">
            <v/>
          </cell>
          <cell r="N158" t="str">
            <v>43</v>
          </cell>
          <cell r="O158" t="str">
            <v>INTERIOR</v>
          </cell>
          <cell r="Q158" t="str">
            <v/>
          </cell>
        </row>
        <row r="159">
          <cell r="B159" t="str">
            <v>A153</v>
          </cell>
          <cell r="C159" t="str">
            <v>00153</v>
          </cell>
          <cell r="E159" t="str">
            <v/>
          </cell>
          <cell r="G159" t="str">
            <v/>
          </cell>
          <cell r="I159" t="str">
            <v/>
          </cell>
          <cell r="K159" t="str">
            <v/>
          </cell>
          <cell r="L159" t="str">
            <v>01</v>
          </cell>
          <cell r="M159" t="str">
            <v>P/T</v>
          </cell>
          <cell r="N159" t="str">
            <v>43</v>
          </cell>
          <cell r="O159" t="str">
            <v>INTERIOR</v>
          </cell>
          <cell r="Q159" t="str">
            <v/>
          </cell>
        </row>
        <row r="160">
          <cell r="B160" t="str">
            <v>A154</v>
          </cell>
          <cell r="C160" t="str">
            <v>00154</v>
          </cell>
          <cell r="E160" t="str">
            <v/>
          </cell>
          <cell r="G160" t="str">
            <v/>
          </cell>
          <cell r="I160" t="str">
            <v/>
          </cell>
          <cell r="K160" t="str">
            <v/>
          </cell>
          <cell r="M160" t="str">
            <v/>
          </cell>
          <cell r="N160" t="str">
            <v>44</v>
          </cell>
          <cell r="O160" t="str">
            <v>PRT-SF</v>
          </cell>
          <cell r="P160" t="str">
            <v>06</v>
          </cell>
          <cell r="Q160" t="str">
            <v>CT30</v>
          </cell>
        </row>
        <row r="161">
          <cell r="B161" t="str">
            <v>A155</v>
          </cell>
          <cell r="C161" t="str">
            <v>00155</v>
          </cell>
          <cell r="D161" t="str">
            <v>P4</v>
          </cell>
          <cell r="E161" t="str">
            <v>1250G</v>
          </cell>
          <cell r="G161" t="str">
            <v/>
          </cell>
          <cell r="I161" t="str">
            <v/>
          </cell>
          <cell r="K161" t="str">
            <v/>
          </cell>
          <cell r="M161" t="str">
            <v/>
          </cell>
          <cell r="N161" t="str">
            <v>12</v>
          </cell>
          <cell r="O161" t="str">
            <v>PAL100</v>
          </cell>
          <cell r="Q161" t="str">
            <v/>
          </cell>
        </row>
        <row r="162">
          <cell r="B162" t="str">
            <v>A156</v>
          </cell>
          <cell r="C162" t="str">
            <v>00156</v>
          </cell>
          <cell r="E162" t="str">
            <v/>
          </cell>
          <cell r="G162" t="str">
            <v/>
          </cell>
          <cell r="I162" t="str">
            <v/>
          </cell>
          <cell r="K162" t="str">
            <v/>
          </cell>
          <cell r="M162" t="str">
            <v/>
          </cell>
          <cell r="N162" t="str">
            <v>28</v>
          </cell>
          <cell r="O162" t="str">
            <v>T. ROSCA Ø50</v>
          </cell>
          <cell r="Q162" t="str">
            <v/>
          </cell>
        </row>
        <row r="163">
          <cell r="B163" t="str">
            <v>A157</v>
          </cell>
          <cell r="C163" t="str">
            <v>00157</v>
          </cell>
          <cell r="E163" t="str">
            <v/>
          </cell>
          <cell r="G163" t="str">
            <v/>
          </cell>
          <cell r="H163" t="str">
            <v>G30</v>
          </cell>
          <cell r="I163" t="str">
            <v>G.DEROVO</v>
          </cell>
          <cell r="K163" t="str">
            <v/>
          </cell>
          <cell r="L163" t="str">
            <v>02</v>
          </cell>
          <cell r="M163" t="str">
            <v>ASA</v>
          </cell>
          <cell r="O163" t="str">
            <v/>
          </cell>
          <cell r="Q163" t="str">
            <v/>
          </cell>
        </row>
        <row r="164">
          <cell r="B164" t="str">
            <v>A158</v>
          </cell>
          <cell r="C164" t="str">
            <v>00158</v>
          </cell>
          <cell r="E164" t="str">
            <v/>
          </cell>
          <cell r="G164" t="str">
            <v/>
          </cell>
          <cell r="I164" t="str">
            <v/>
          </cell>
          <cell r="K164" t="str">
            <v/>
          </cell>
          <cell r="M164" t="str">
            <v/>
          </cell>
          <cell r="N164" t="str">
            <v>45</v>
          </cell>
          <cell r="O164" t="str">
            <v>T. ROSCA Ø55</v>
          </cell>
          <cell r="Q164" t="str">
            <v/>
          </cell>
        </row>
        <row r="165">
          <cell r="B165" t="str">
            <v>A159</v>
          </cell>
          <cell r="C165" t="str">
            <v>00159</v>
          </cell>
          <cell r="E165" t="str">
            <v/>
          </cell>
          <cell r="G165" t="str">
            <v/>
          </cell>
          <cell r="I165" t="str">
            <v/>
          </cell>
          <cell r="K165" t="str">
            <v/>
          </cell>
          <cell r="M165" t="str">
            <v/>
          </cell>
          <cell r="N165" t="str">
            <v>28</v>
          </cell>
          <cell r="O165" t="str">
            <v>T. ROSCA Ø50</v>
          </cell>
          <cell r="Q165" t="str">
            <v/>
          </cell>
        </row>
        <row r="166">
          <cell r="B166" t="str">
            <v>A160</v>
          </cell>
          <cell r="C166" t="str">
            <v>00160</v>
          </cell>
          <cell r="E166" t="str">
            <v/>
          </cell>
          <cell r="G166" t="str">
            <v/>
          </cell>
          <cell r="I166" t="str">
            <v/>
          </cell>
          <cell r="K166" t="str">
            <v/>
          </cell>
          <cell r="M166" t="str">
            <v/>
          </cell>
          <cell r="N166" t="str">
            <v>46</v>
          </cell>
          <cell r="O166" t="str">
            <v>T. ROSCA Ø60</v>
          </cell>
          <cell r="Q166" t="str">
            <v/>
          </cell>
        </row>
        <row r="167">
          <cell r="B167" t="str">
            <v>A161</v>
          </cell>
          <cell r="C167" t="str">
            <v>00161</v>
          </cell>
          <cell r="E167" t="str">
            <v/>
          </cell>
          <cell r="G167" t="str">
            <v/>
          </cell>
          <cell r="I167" t="str">
            <v/>
          </cell>
          <cell r="K167" t="str">
            <v/>
          </cell>
          <cell r="M167" t="str">
            <v/>
          </cell>
          <cell r="N167" t="str">
            <v>47</v>
          </cell>
          <cell r="O167" t="str">
            <v>T. ROSCA Ø38/23</v>
          </cell>
          <cell r="Q167" t="str">
            <v/>
          </cell>
        </row>
        <row r="168">
          <cell r="B168" t="str">
            <v>A162</v>
          </cell>
          <cell r="C168" t="str">
            <v>00162</v>
          </cell>
          <cell r="D168" t="str">
            <v>P13</v>
          </cell>
          <cell r="E168" t="str">
            <v>270G</v>
          </cell>
          <cell r="G168" t="str">
            <v/>
          </cell>
          <cell r="I168" t="str">
            <v/>
          </cell>
          <cell r="J168" t="str">
            <v>A7</v>
          </cell>
          <cell r="K168" t="str">
            <v>A.BLUECHEM ADBLUE</v>
          </cell>
          <cell r="M168" t="str">
            <v/>
          </cell>
          <cell r="O168" t="str">
            <v/>
          </cell>
          <cell r="Q168" t="str">
            <v/>
          </cell>
        </row>
        <row r="169">
          <cell r="B169" t="str">
            <v>A163</v>
          </cell>
          <cell r="C169" t="str">
            <v>00163</v>
          </cell>
          <cell r="D169" t="str">
            <v>P4</v>
          </cell>
          <cell r="E169" t="str">
            <v>1250G</v>
          </cell>
          <cell r="G169" t="str">
            <v/>
          </cell>
          <cell r="I169" t="str">
            <v/>
          </cell>
          <cell r="J169" t="str">
            <v>A7</v>
          </cell>
          <cell r="K169" t="str">
            <v>A.BLUECHEM ADBLUE</v>
          </cell>
          <cell r="M169" t="str">
            <v/>
          </cell>
          <cell r="O169" t="str">
            <v/>
          </cell>
          <cell r="Q169" t="str">
            <v/>
          </cell>
        </row>
        <row r="170">
          <cell r="B170" t="str">
            <v>A164</v>
          </cell>
          <cell r="C170" t="str">
            <v>00164</v>
          </cell>
          <cell r="E170" t="str">
            <v/>
          </cell>
          <cell r="G170" t="str">
            <v/>
          </cell>
          <cell r="I170" t="str">
            <v/>
          </cell>
          <cell r="K170" t="str">
            <v/>
          </cell>
          <cell r="M170" t="str">
            <v/>
          </cell>
          <cell r="N170" t="str">
            <v>25</v>
          </cell>
          <cell r="O170" t="str">
            <v>VERM-VT</v>
          </cell>
          <cell r="P170" t="str">
            <v>04</v>
          </cell>
          <cell r="Q170" t="str">
            <v>CT80</v>
          </cell>
        </row>
        <row r="171">
          <cell r="B171" t="str">
            <v>A165</v>
          </cell>
          <cell r="C171" t="str">
            <v>00165</v>
          </cell>
          <cell r="E171" t="str">
            <v/>
          </cell>
          <cell r="G171" t="str">
            <v/>
          </cell>
          <cell r="H171" t="str">
            <v>G17</v>
          </cell>
          <cell r="I171" t="str">
            <v>G.PROIN</v>
          </cell>
          <cell r="K171" t="str">
            <v/>
          </cell>
          <cell r="M171" t="str">
            <v/>
          </cell>
          <cell r="N171" t="str">
            <v>48</v>
          </cell>
          <cell r="O171" t="str">
            <v>ENCAIXE 0493</v>
          </cell>
          <cell r="Q171" t="str">
            <v/>
          </cell>
        </row>
        <row r="172">
          <cell r="B172" t="str">
            <v>A166</v>
          </cell>
          <cell r="C172" t="str">
            <v>00166</v>
          </cell>
          <cell r="D172" t="str">
            <v>P3</v>
          </cell>
          <cell r="E172" t="str">
            <v>1200G</v>
          </cell>
          <cell r="G172" t="str">
            <v/>
          </cell>
          <cell r="H172" t="str">
            <v>G1</v>
          </cell>
          <cell r="I172" t="str">
            <v>G.CARVIDET</v>
          </cell>
          <cell r="K172" t="str">
            <v/>
          </cell>
          <cell r="M172" t="str">
            <v/>
          </cell>
          <cell r="O172" t="str">
            <v/>
          </cell>
          <cell r="Q172" t="str">
            <v/>
          </cell>
        </row>
        <row r="173">
          <cell r="B173" t="str">
            <v>A167</v>
          </cell>
          <cell r="C173" t="str">
            <v>00167</v>
          </cell>
          <cell r="D173" t="str">
            <v>P3</v>
          </cell>
          <cell r="E173" t="str">
            <v>1200G</v>
          </cell>
          <cell r="G173" t="str">
            <v/>
          </cell>
          <cell r="H173" t="str">
            <v>G23</v>
          </cell>
          <cell r="I173" t="str">
            <v>G.CARVIDET (LOGO)</v>
          </cell>
          <cell r="K173" t="str">
            <v/>
          </cell>
          <cell r="M173" t="str">
            <v/>
          </cell>
          <cell r="O173" t="str">
            <v/>
          </cell>
          <cell r="Q173" t="str">
            <v/>
          </cell>
        </row>
        <row r="174">
          <cell r="B174" t="str">
            <v>A168</v>
          </cell>
          <cell r="C174" t="str">
            <v>00168</v>
          </cell>
          <cell r="E174" t="str">
            <v/>
          </cell>
          <cell r="G174" t="str">
            <v/>
          </cell>
          <cell r="I174" t="str">
            <v/>
          </cell>
          <cell r="K174" t="str">
            <v/>
          </cell>
          <cell r="M174" t="str">
            <v/>
          </cell>
          <cell r="N174" t="str">
            <v>49</v>
          </cell>
          <cell r="O174" t="str">
            <v>COM CINTA LACADA</v>
          </cell>
          <cell r="Q174" t="str">
            <v/>
          </cell>
        </row>
        <row r="175">
          <cell r="B175" t="str">
            <v>A169</v>
          </cell>
          <cell r="C175" t="str">
            <v>00169</v>
          </cell>
          <cell r="E175" t="str">
            <v/>
          </cell>
          <cell r="G175" t="str">
            <v/>
          </cell>
          <cell r="I175" t="str">
            <v/>
          </cell>
          <cell r="K175" t="str">
            <v/>
          </cell>
          <cell r="L175" t="str">
            <v>05</v>
          </cell>
          <cell r="M175" t="str">
            <v>P/T CAV</v>
          </cell>
          <cell r="O175" t="str">
            <v/>
          </cell>
          <cell r="Q175" t="str">
            <v/>
          </cell>
        </row>
        <row r="176">
          <cell r="B176" t="str">
            <v>A170</v>
          </cell>
          <cell r="C176" t="str">
            <v>00170</v>
          </cell>
          <cell r="D176" t="str">
            <v>P20</v>
          </cell>
          <cell r="E176" t="str">
            <v>700G</v>
          </cell>
          <cell r="G176" t="str">
            <v/>
          </cell>
          <cell r="I176" t="str">
            <v/>
          </cell>
          <cell r="K176" t="str">
            <v/>
          </cell>
          <cell r="M176" t="str">
            <v/>
          </cell>
          <cell r="O176" t="str">
            <v/>
          </cell>
          <cell r="Q176" t="str">
            <v/>
          </cell>
        </row>
        <row r="177">
          <cell r="B177" t="str">
            <v>A171</v>
          </cell>
          <cell r="C177" t="str">
            <v>00171</v>
          </cell>
          <cell r="E177" t="str">
            <v/>
          </cell>
          <cell r="G177" t="str">
            <v/>
          </cell>
          <cell r="H177" t="str">
            <v>G31</v>
          </cell>
          <cell r="I177" t="str">
            <v>G.ECOMOVIMENTO</v>
          </cell>
          <cell r="K177" t="str">
            <v/>
          </cell>
          <cell r="M177" t="str">
            <v/>
          </cell>
          <cell r="O177" t="str">
            <v/>
          </cell>
          <cell r="Q177" t="str">
            <v/>
          </cell>
        </row>
        <row r="178">
          <cell r="B178" t="str">
            <v>A172</v>
          </cell>
          <cell r="C178" t="str">
            <v>00172</v>
          </cell>
          <cell r="D178" t="str">
            <v>P9</v>
          </cell>
          <cell r="E178" t="str">
            <v>150G</v>
          </cell>
          <cell r="F178" t="str">
            <v>C1</v>
          </cell>
          <cell r="G178" t="str">
            <v>3H1/Y1,2</v>
          </cell>
          <cell r="I178" t="str">
            <v/>
          </cell>
          <cell r="K178" t="str">
            <v/>
          </cell>
          <cell r="M178" t="str">
            <v/>
          </cell>
          <cell r="O178" t="str">
            <v/>
          </cell>
          <cell r="Q178" t="str">
            <v/>
          </cell>
        </row>
        <row r="179">
          <cell r="B179" t="str">
            <v>A173</v>
          </cell>
          <cell r="C179" t="str">
            <v>00173</v>
          </cell>
          <cell r="E179" t="str">
            <v/>
          </cell>
          <cell r="G179" t="str">
            <v/>
          </cell>
          <cell r="H179" t="str">
            <v>G32</v>
          </cell>
          <cell r="I179" t="str">
            <v>G.AGRI-MELK</v>
          </cell>
          <cell r="K179" t="str">
            <v/>
          </cell>
          <cell r="M179" t="str">
            <v/>
          </cell>
          <cell r="O179" t="str">
            <v/>
          </cell>
          <cell r="Q179" t="str">
            <v/>
          </cell>
        </row>
        <row r="180">
          <cell r="B180" t="str">
            <v>A174</v>
          </cell>
          <cell r="C180" t="str">
            <v>00174</v>
          </cell>
          <cell r="E180" t="str">
            <v/>
          </cell>
          <cell r="G180" t="str">
            <v/>
          </cell>
          <cell r="H180" t="str">
            <v>G33</v>
          </cell>
          <cell r="I180" t="str">
            <v>G.ASPRONA</v>
          </cell>
          <cell r="K180" t="str">
            <v/>
          </cell>
          <cell r="L180" t="str">
            <v>02</v>
          </cell>
          <cell r="M180" t="str">
            <v>ASA</v>
          </cell>
          <cell r="O180" t="str">
            <v/>
          </cell>
          <cell r="Q180" t="str">
            <v/>
          </cell>
        </row>
        <row r="181">
          <cell r="B181" t="str">
            <v>A175</v>
          </cell>
          <cell r="C181" t="str">
            <v>00175</v>
          </cell>
          <cell r="E181" t="str">
            <v/>
          </cell>
          <cell r="G181" t="str">
            <v/>
          </cell>
          <cell r="I181" t="str">
            <v/>
          </cell>
          <cell r="K181" t="str">
            <v/>
          </cell>
          <cell r="M181" t="str">
            <v/>
          </cell>
          <cell r="N181" t="str">
            <v>50</v>
          </cell>
          <cell r="O181" t="str">
            <v>DP</v>
          </cell>
          <cell r="Q181" t="str">
            <v/>
          </cell>
        </row>
        <row r="182">
          <cell r="B182" t="str">
            <v>A176</v>
          </cell>
          <cell r="C182" t="str">
            <v>00176</v>
          </cell>
          <cell r="E182" t="str">
            <v/>
          </cell>
          <cell r="F182" t="str">
            <v>C3</v>
          </cell>
          <cell r="G182" t="str">
            <v>3H1/Y1,6</v>
          </cell>
          <cell r="I182" t="str">
            <v/>
          </cell>
          <cell r="K182" t="str">
            <v/>
          </cell>
          <cell r="M182" t="str">
            <v/>
          </cell>
          <cell r="O182" t="str">
            <v/>
          </cell>
          <cell r="Q182" t="str">
            <v/>
          </cell>
        </row>
        <row r="183">
          <cell r="B183" t="str">
            <v>A177</v>
          </cell>
          <cell r="C183" t="str">
            <v>00177</v>
          </cell>
          <cell r="E183" t="str">
            <v/>
          </cell>
          <cell r="G183" t="str">
            <v/>
          </cell>
          <cell r="I183" t="str">
            <v/>
          </cell>
          <cell r="K183" t="str">
            <v/>
          </cell>
          <cell r="M183" t="str">
            <v/>
          </cell>
          <cell r="N183" t="str">
            <v>51</v>
          </cell>
          <cell r="O183" t="str">
            <v>CRC (SEGURANÇA)</v>
          </cell>
          <cell r="Q183" t="str">
            <v/>
          </cell>
        </row>
        <row r="184">
          <cell r="B184" t="str">
            <v>A178</v>
          </cell>
          <cell r="C184" t="str">
            <v>00178</v>
          </cell>
          <cell r="E184" t="str">
            <v/>
          </cell>
          <cell r="F184" t="str">
            <v>C9</v>
          </cell>
          <cell r="G184" t="str">
            <v>1H1/Y2.1</v>
          </cell>
          <cell r="I184" t="str">
            <v/>
          </cell>
          <cell r="K184" t="str">
            <v/>
          </cell>
          <cell r="M184" t="str">
            <v/>
          </cell>
          <cell r="O184" t="str">
            <v/>
          </cell>
          <cell r="Q184" t="str">
            <v/>
          </cell>
        </row>
        <row r="185">
          <cell r="B185" t="str">
            <v>A179</v>
          </cell>
          <cell r="C185" t="str">
            <v>00179</v>
          </cell>
          <cell r="E185" t="str">
            <v/>
          </cell>
          <cell r="G185" t="str">
            <v/>
          </cell>
          <cell r="H185" t="str">
            <v>G34</v>
          </cell>
          <cell r="I185" t="str">
            <v>G.BIOOESTE</v>
          </cell>
          <cell r="K185" t="str">
            <v/>
          </cell>
          <cell r="L185" t="str">
            <v>02</v>
          </cell>
          <cell r="M185" t="str">
            <v>ASA</v>
          </cell>
          <cell r="O185" t="str">
            <v/>
          </cell>
          <cell r="Q185" t="str">
            <v/>
          </cell>
        </row>
        <row r="186">
          <cell r="B186" t="str">
            <v>A180</v>
          </cell>
          <cell r="C186" t="str">
            <v>00180</v>
          </cell>
          <cell r="E186" t="str">
            <v/>
          </cell>
          <cell r="G186" t="str">
            <v/>
          </cell>
          <cell r="I186" t="str">
            <v/>
          </cell>
          <cell r="K186" t="str">
            <v/>
          </cell>
          <cell r="M186" t="str">
            <v/>
          </cell>
          <cell r="O186" t="str">
            <v/>
          </cell>
          <cell r="Q186" t="str">
            <v/>
          </cell>
        </row>
        <row r="187">
          <cell r="B187" t="str">
            <v>A181</v>
          </cell>
          <cell r="C187" t="str">
            <v>00181</v>
          </cell>
          <cell r="E187" t="str">
            <v/>
          </cell>
          <cell r="G187" t="str">
            <v/>
          </cell>
          <cell r="H187" t="str">
            <v>G35</v>
          </cell>
          <cell r="I187" t="str">
            <v>G.H.VIEIRA</v>
          </cell>
          <cell r="K187" t="str">
            <v/>
          </cell>
          <cell r="M187" t="str">
            <v/>
          </cell>
          <cell r="O187" t="str">
            <v/>
          </cell>
          <cell r="Q187" t="str">
            <v/>
          </cell>
        </row>
        <row r="188">
          <cell r="B188" t="str">
            <v>A182</v>
          </cell>
          <cell r="C188" t="str">
            <v>00182</v>
          </cell>
          <cell r="E188" t="str">
            <v/>
          </cell>
          <cell r="F188" t="str">
            <v>C4</v>
          </cell>
          <cell r="G188" t="str">
            <v>3H1/Y1,9</v>
          </cell>
          <cell r="I188" t="str">
            <v/>
          </cell>
          <cell r="K188" t="str">
            <v/>
          </cell>
          <cell r="L188" t="str">
            <v>02</v>
          </cell>
          <cell r="M188" t="str">
            <v>ASA</v>
          </cell>
          <cell r="O188" t="str">
            <v/>
          </cell>
          <cell r="Q188" t="str">
            <v/>
          </cell>
        </row>
        <row r="189">
          <cell r="B189" t="str">
            <v>A183</v>
          </cell>
          <cell r="C189" t="str">
            <v>00183</v>
          </cell>
          <cell r="E189" t="str">
            <v/>
          </cell>
          <cell r="F189" t="str">
            <v>C4</v>
          </cell>
          <cell r="G189" t="str">
            <v>3H1/Y1,9</v>
          </cell>
          <cell r="H189" t="str">
            <v>G3</v>
          </cell>
          <cell r="I189" t="str">
            <v>G.CRIMOLARA</v>
          </cell>
          <cell r="K189" t="str">
            <v/>
          </cell>
          <cell r="L189" t="str">
            <v>02</v>
          </cell>
          <cell r="M189" t="str">
            <v>ASA</v>
          </cell>
          <cell r="O189" t="str">
            <v/>
          </cell>
          <cell r="Q189" t="str">
            <v/>
          </cell>
        </row>
        <row r="190">
          <cell r="B190" t="str">
            <v>A184</v>
          </cell>
          <cell r="C190" t="str">
            <v>00184</v>
          </cell>
          <cell r="E190" t="str">
            <v/>
          </cell>
          <cell r="G190" t="str">
            <v/>
          </cell>
          <cell r="H190" t="str">
            <v>G36</v>
          </cell>
          <cell r="I190" t="str">
            <v>G.DETAL</v>
          </cell>
          <cell r="K190" t="str">
            <v/>
          </cell>
          <cell r="M190" t="str">
            <v/>
          </cell>
          <cell r="O190" t="str">
            <v/>
          </cell>
          <cell r="Q190" t="str">
            <v/>
          </cell>
        </row>
        <row r="191">
          <cell r="B191" t="str">
            <v>A185</v>
          </cell>
          <cell r="C191" t="str">
            <v>00185</v>
          </cell>
          <cell r="E191" t="str">
            <v/>
          </cell>
          <cell r="G191" t="str">
            <v/>
          </cell>
          <cell r="I191" t="str">
            <v/>
          </cell>
          <cell r="J191" t="str">
            <v>A7</v>
          </cell>
          <cell r="K191" t="str">
            <v>A.BLUECHEM ADBLUE</v>
          </cell>
          <cell r="M191" t="str">
            <v/>
          </cell>
          <cell r="O191" t="str">
            <v/>
          </cell>
          <cell r="Q191" t="str">
            <v/>
          </cell>
        </row>
        <row r="192">
          <cell r="B192" t="str">
            <v>A186</v>
          </cell>
          <cell r="C192" t="str">
            <v>00186</v>
          </cell>
          <cell r="E192" t="str">
            <v/>
          </cell>
          <cell r="G192" t="str">
            <v/>
          </cell>
          <cell r="H192" t="str">
            <v>G37</v>
          </cell>
          <cell r="I192" t="str">
            <v>G.SBGALICIA</v>
          </cell>
          <cell r="K192" t="str">
            <v/>
          </cell>
          <cell r="L192" t="str">
            <v>02</v>
          </cell>
          <cell r="M192" t="str">
            <v>ASA</v>
          </cell>
          <cell r="O192" t="str">
            <v/>
          </cell>
          <cell r="Q192" t="str">
            <v/>
          </cell>
        </row>
        <row r="193">
          <cell r="B193" t="str">
            <v>A187</v>
          </cell>
          <cell r="C193" t="str">
            <v>00187</v>
          </cell>
          <cell r="E193" t="str">
            <v/>
          </cell>
          <cell r="G193" t="str">
            <v/>
          </cell>
          <cell r="I193" t="str">
            <v/>
          </cell>
          <cell r="K193" t="str">
            <v/>
          </cell>
          <cell r="M193" t="str">
            <v/>
          </cell>
          <cell r="N193" t="str">
            <v>44</v>
          </cell>
          <cell r="O193" t="str">
            <v>PRT-SF</v>
          </cell>
          <cell r="P193" t="str">
            <v>06</v>
          </cell>
          <cell r="Q193" t="str">
            <v>CT30</v>
          </cell>
        </row>
        <row r="194">
          <cell r="B194" t="str">
            <v>A188</v>
          </cell>
          <cell r="C194" t="str">
            <v>00188</v>
          </cell>
          <cell r="E194" t="str">
            <v/>
          </cell>
          <cell r="G194" t="str">
            <v/>
          </cell>
          <cell r="I194" t="str">
            <v/>
          </cell>
          <cell r="K194" t="str">
            <v/>
          </cell>
          <cell r="M194" t="str">
            <v/>
          </cell>
          <cell r="O194" t="str">
            <v/>
          </cell>
          <cell r="Q194" t="str">
            <v/>
          </cell>
          <cell r="R194" t="str">
            <v>(COMP 1145 mm)</v>
          </cell>
        </row>
        <row r="195">
          <cell r="B195" t="str">
            <v>A189</v>
          </cell>
          <cell r="C195" t="str">
            <v>00189</v>
          </cell>
          <cell r="E195" t="str">
            <v/>
          </cell>
          <cell r="G195" t="str">
            <v/>
          </cell>
          <cell r="I195" t="str">
            <v/>
          </cell>
          <cell r="K195" t="str">
            <v/>
          </cell>
          <cell r="M195" t="str">
            <v/>
          </cell>
          <cell r="O195" t="str">
            <v/>
          </cell>
          <cell r="Q195" t="str">
            <v/>
          </cell>
          <cell r="R195" t="str">
            <v>(COMP 1115 mm)</v>
          </cell>
        </row>
        <row r="196">
          <cell r="B196" t="str">
            <v>A190</v>
          </cell>
          <cell r="C196" t="str">
            <v>00190</v>
          </cell>
          <cell r="E196" t="str">
            <v/>
          </cell>
          <cell r="G196" t="str">
            <v/>
          </cell>
          <cell r="I196" t="str">
            <v/>
          </cell>
          <cell r="K196" t="str">
            <v/>
          </cell>
          <cell r="M196" t="str">
            <v/>
          </cell>
          <cell r="O196" t="str">
            <v/>
          </cell>
          <cell r="Q196" t="str">
            <v/>
          </cell>
          <cell r="R196" t="str">
            <v>(COMP 1215 mm)</v>
          </cell>
        </row>
        <row r="197">
          <cell r="B197" t="str">
            <v>A191</v>
          </cell>
          <cell r="C197" t="str">
            <v>00191</v>
          </cell>
          <cell r="E197" t="str">
            <v/>
          </cell>
          <cell r="G197" t="str">
            <v/>
          </cell>
          <cell r="I197" t="str">
            <v/>
          </cell>
          <cell r="K197" t="str">
            <v/>
          </cell>
          <cell r="M197" t="str">
            <v/>
          </cell>
          <cell r="O197" t="str">
            <v/>
          </cell>
          <cell r="Q197" t="str">
            <v/>
          </cell>
          <cell r="R197" t="str">
            <v>(COMP 620 mm)</v>
          </cell>
        </row>
        <row r="198">
          <cell r="B198" t="str">
            <v>A192</v>
          </cell>
          <cell r="C198" t="str">
            <v>00192</v>
          </cell>
          <cell r="E198" t="str">
            <v/>
          </cell>
          <cell r="G198" t="str">
            <v/>
          </cell>
          <cell r="I198" t="str">
            <v/>
          </cell>
          <cell r="K198" t="str">
            <v/>
          </cell>
          <cell r="M198" t="str">
            <v/>
          </cell>
          <cell r="O198" t="str">
            <v/>
          </cell>
          <cell r="Q198" t="str">
            <v/>
          </cell>
          <cell r="R198" t="str">
            <v>(COMP 825 mm)</v>
          </cell>
        </row>
        <row r="199">
          <cell r="B199" t="str">
            <v>A193</v>
          </cell>
          <cell r="C199" t="str">
            <v>00193</v>
          </cell>
          <cell r="E199" t="str">
            <v/>
          </cell>
          <cell r="G199" t="str">
            <v/>
          </cell>
          <cell r="I199" t="str">
            <v/>
          </cell>
          <cell r="K199" t="str">
            <v/>
          </cell>
          <cell r="M199" t="str">
            <v/>
          </cell>
          <cell r="O199" t="str">
            <v/>
          </cell>
          <cell r="Q199" t="str">
            <v/>
          </cell>
          <cell r="R199" t="str">
            <v>(COMP 757 mm)</v>
          </cell>
        </row>
        <row r="200">
          <cell r="B200" t="str">
            <v>A194</v>
          </cell>
          <cell r="C200" t="str">
            <v>00194</v>
          </cell>
          <cell r="E200" t="str">
            <v/>
          </cell>
          <cell r="G200" t="str">
            <v/>
          </cell>
          <cell r="I200" t="str">
            <v/>
          </cell>
          <cell r="K200" t="str">
            <v/>
          </cell>
          <cell r="M200" t="str">
            <v/>
          </cell>
          <cell r="O200" t="str">
            <v/>
          </cell>
          <cell r="Q200" t="str">
            <v/>
          </cell>
          <cell r="R200" t="str">
            <v>(COMP 750 mm)</v>
          </cell>
        </row>
        <row r="201">
          <cell r="B201" t="str">
            <v>A195</v>
          </cell>
          <cell r="C201" t="str">
            <v>00195</v>
          </cell>
          <cell r="E201" t="str">
            <v/>
          </cell>
          <cell r="G201" t="str">
            <v/>
          </cell>
          <cell r="I201" t="str">
            <v/>
          </cell>
          <cell r="K201" t="str">
            <v/>
          </cell>
          <cell r="M201" t="str">
            <v/>
          </cell>
          <cell r="O201" t="str">
            <v/>
          </cell>
          <cell r="Q201" t="str">
            <v/>
          </cell>
          <cell r="R201" t="str">
            <v>(COMP 1060 mm)</v>
          </cell>
        </row>
        <row r="202">
          <cell r="B202" t="str">
            <v>A196</v>
          </cell>
          <cell r="C202" t="str">
            <v>00196</v>
          </cell>
          <cell r="E202" t="str">
            <v/>
          </cell>
          <cell r="G202" t="str">
            <v/>
          </cell>
          <cell r="H202" t="str">
            <v>G28</v>
          </cell>
          <cell r="I202" t="str">
            <v>G.OLEOTORRES</v>
          </cell>
          <cell r="K202" t="str">
            <v/>
          </cell>
          <cell r="L202" t="str">
            <v>02</v>
          </cell>
          <cell r="M202" t="str">
            <v>ASA</v>
          </cell>
          <cell r="N202" t="str">
            <v>26</v>
          </cell>
          <cell r="O202" t="str">
            <v>C/ CHIP</v>
          </cell>
          <cell r="Q202" t="str">
            <v/>
          </cell>
          <cell r="R202" t="str">
            <v>ASA laranja e Tampa Preta</v>
          </cell>
        </row>
        <row r="203">
          <cell r="B203" t="str">
            <v>A197</v>
          </cell>
          <cell r="C203" t="str">
            <v>00197</v>
          </cell>
          <cell r="E203" t="str">
            <v/>
          </cell>
          <cell r="G203" t="str">
            <v/>
          </cell>
          <cell r="I203" t="str">
            <v/>
          </cell>
          <cell r="K203" t="str">
            <v/>
          </cell>
          <cell r="L203" t="str">
            <v>07</v>
          </cell>
          <cell r="M203" t="str">
            <v>C/ VISOR</v>
          </cell>
          <cell r="O203" t="str">
            <v/>
          </cell>
          <cell r="Q203" t="str">
            <v/>
          </cell>
        </row>
        <row r="204">
          <cell r="B204" t="str">
            <v>A198</v>
          </cell>
          <cell r="C204" t="str">
            <v>00198</v>
          </cell>
          <cell r="E204" t="str">
            <v/>
          </cell>
          <cell r="G204" t="str">
            <v/>
          </cell>
          <cell r="H204" t="str">
            <v>G38</v>
          </cell>
          <cell r="I204" t="str">
            <v>G.RAVUSA</v>
          </cell>
          <cell r="K204" t="str">
            <v/>
          </cell>
          <cell r="L204" t="str">
            <v>02</v>
          </cell>
          <cell r="M204" t="str">
            <v>ASA</v>
          </cell>
          <cell r="O204" t="str">
            <v/>
          </cell>
          <cell r="Q204" t="str">
            <v/>
          </cell>
        </row>
        <row r="205">
          <cell r="B205" t="str">
            <v>A199</v>
          </cell>
          <cell r="C205" t="str">
            <v>00199</v>
          </cell>
          <cell r="E205" t="str">
            <v/>
          </cell>
          <cell r="F205" t="str">
            <v>C10</v>
          </cell>
          <cell r="G205" t="str">
            <v>3H1/Y1,7</v>
          </cell>
          <cell r="I205" t="str">
            <v/>
          </cell>
          <cell r="K205" t="str">
            <v/>
          </cell>
          <cell r="M205" t="str">
            <v/>
          </cell>
          <cell r="O205" t="str">
            <v/>
          </cell>
          <cell r="Q205" t="str">
            <v/>
          </cell>
        </row>
        <row r="206">
          <cell r="B206" t="str">
            <v>A200</v>
          </cell>
          <cell r="C206" t="str">
            <v>00200</v>
          </cell>
          <cell r="D206" t="str">
            <v>P21</v>
          </cell>
          <cell r="E206" t="str">
            <v>790G</v>
          </cell>
          <cell r="F206" t="str">
            <v>C10</v>
          </cell>
          <cell r="G206" t="str">
            <v>3H1/Y1,7</v>
          </cell>
          <cell r="I206" t="str">
            <v/>
          </cell>
          <cell r="K206" t="str">
            <v/>
          </cell>
          <cell r="M206" t="str">
            <v/>
          </cell>
          <cell r="O206" t="str">
            <v/>
          </cell>
          <cell r="Q206" t="str">
            <v/>
          </cell>
        </row>
        <row r="207">
          <cell r="B207" t="str">
            <v>A201</v>
          </cell>
          <cell r="C207" t="str">
            <v>00201</v>
          </cell>
          <cell r="E207" t="str">
            <v/>
          </cell>
          <cell r="F207" t="str">
            <v>C10</v>
          </cell>
          <cell r="G207" t="str">
            <v>3H1/Y1,7</v>
          </cell>
          <cell r="I207" t="str">
            <v/>
          </cell>
          <cell r="K207" t="str">
            <v/>
          </cell>
          <cell r="L207" t="str">
            <v>07</v>
          </cell>
          <cell r="M207" t="str">
            <v>C/ VISOR</v>
          </cell>
          <cell r="O207" t="str">
            <v/>
          </cell>
          <cell r="Q207" t="str">
            <v/>
          </cell>
        </row>
        <row r="208">
          <cell r="B208" t="str">
            <v>A202</v>
          </cell>
          <cell r="C208" t="str">
            <v>00202</v>
          </cell>
          <cell r="E208" t="str">
            <v/>
          </cell>
          <cell r="F208" t="str">
            <v>C10</v>
          </cell>
          <cell r="G208" t="str">
            <v>3H1/Y1,7</v>
          </cell>
          <cell r="I208" t="str">
            <v/>
          </cell>
          <cell r="J208" t="str">
            <v>A7</v>
          </cell>
          <cell r="K208" t="str">
            <v>A.BLUECHEM ADBLUE</v>
          </cell>
          <cell r="M208" t="str">
            <v/>
          </cell>
          <cell r="O208" t="str">
            <v/>
          </cell>
          <cell r="Q208" t="str">
            <v/>
          </cell>
        </row>
        <row r="209">
          <cell r="B209" t="str">
            <v>A203</v>
          </cell>
          <cell r="C209" t="str">
            <v>00203</v>
          </cell>
          <cell r="E209" t="str">
            <v/>
          </cell>
          <cell r="G209" t="str">
            <v/>
          </cell>
          <cell r="H209" t="str">
            <v>G39</v>
          </cell>
          <cell r="I209" t="str">
            <v>G.FUTUREFUELS</v>
          </cell>
          <cell r="K209" t="str">
            <v/>
          </cell>
          <cell r="L209" t="str">
            <v>02</v>
          </cell>
          <cell r="M209" t="str">
            <v>ASA</v>
          </cell>
          <cell r="O209" t="str">
            <v/>
          </cell>
          <cell r="Q209" t="str">
            <v/>
          </cell>
        </row>
        <row r="210">
          <cell r="B210" t="str">
            <v>A204</v>
          </cell>
          <cell r="C210" t="str">
            <v>00204</v>
          </cell>
          <cell r="E210" t="str">
            <v/>
          </cell>
          <cell r="G210" t="str">
            <v/>
          </cell>
          <cell r="I210" t="str">
            <v/>
          </cell>
          <cell r="K210" t="str">
            <v/>
          </cell>
          <cell r="M210" t="str">
            <v/>
          </cell>
          <cell r="O210" t="str">
            <v/>
          </cell>
          <cell r="Q210" t="str">
            <v/>
          </cell>
          <cell r="R210" t="str">
            <v>STD</v>
          </cell>
        </row>
        <row r="211">
          <cell r="B211" t="str">
            <v>A205</v>
          </cell>
          <cell r="C211" t="str">
            <v>00205</v>
          </cell>
          <cell r="E211" t="str">
            <v/>
          </cell>
          <cell r="G211" t="str">
            <v/>
          </cell>
          <cell r="H211" t="str">
            <v>G40</v>
          </cell>
          <cell r="I211" t="str">
            <v>G.BIOMOVA</v>
          </cell>
          <cell r="K211" t="str">
            <v/>
          </cell>
          <cell r="L211" t="str">
            <v>02</v>
          </cell>
          <cell r="M211" t="str">
            <v>ASA</v>
          </cell>
          <cell r="O211" t="str">
            <v/>
          </cell>
          <cell r="Q211" t="str">
            <v/>
          </cell>
        </row>
        <row r="212">
          <cell r="B212" t="str">
            <v>A206</v>
          </cell>
          <cell r="C212" t="str">
            <v>00206</v>
          </cell>
          <cell r="E212" t="str">
            <v/>
          </cell>
          <cell r="G212" t="str">
            <v/>
          </cell>
          <cell r="I212" t="str">
            <v/>
          </cell>
          <cell r="K212" t="str">
            <v/>
          </cell>
          <cell r="M212" t="str">
            <v/>
          </cell>
          <cell r="O212" t="str">
            <v/>
          </cell>
          <cell r="Q212" t="str">
            <v/>
          </cell>
          <cell r="R212" t="str">
            <v>P\ FRASCO 20 C.C.</v>
          </cell>
        </row>
        <row r="213">
          <cell r="B213" t="str">
            <v>A207</v>
          </cell>
          <cell r="C213" t="str">
            <v>00207</v>
          </cell>
          <cell r="E213" t="str">
            <v/>
          </cell>
          <cell r="G213" t="str">
            <v/>
          </cell>
          <cell r="I213" t="str">
            <v/>
          </cell>
          <cell r="K213" t="str">
            <v/>
          </cell>
          <cell r="L213" t="str">
            <v>04</v>
          </cell>
          <cell r="M213" t="str">
            <v>P/T ASA</v>
          </cell>
          <cell r="O213" t="str">
            <v/>
          </cell>
          <cell r="Q213" t="str">
            <v/>
          </cell>
          <cell r="R213" t="str">
            <v>S. PROZIS</v>
          </cell>
        </row>
        <row r="214">
          <cell r="B214" t="str">
            <v>A208</v>
          </cell>
          <cell r="C214" t="str">
            <v>00208</v>
          </cell>
          <cell r="E214" t="str">
            <v/>
          </cell>
          <cell r="F214" t="str">
            <v>C11</v>
          </cell>
          <cell r="G214" t="str">
            <v>1H2/X56</v>
          </cell>
          <cell r="I214" t="str">
            <v/>
          </cell>
          <cell r="K214" t="str">
            <v/>
          </cell>
          <cell r="L214" t="str">
            <v>03</v>
          </cell>
          <cell r="M214" t="str">
            <v>CAV</v>
          </cell>
          <cell r="O214" t="str">
            <v/>
          </cell>
          <cell r="Q214" t="str">
            <v/>
          </cell>
        </row>
        <row r="215">
          <cell r="B215" t="str">
            <v>A209</v>
          </cell>
          <cell r="C215" t="str">
            <v>00209</v>
          </cell>
          <cell r="D215" t="str">
            <v>P4</v>
          </cell>
          <cell r="E215" t="str">
            <v>1250G</v>
          </cell>
          <cell r="G215" t="str">
            <v/>
          </cell>
          <cell r="I215" t="str">
            <v/>
          </cell>
          <cell r="J215" t="str">
            <v>A8</v>
          </cell>
          <cell r="K215" t="str">
            <v>A.BANQUETE ALTO RENDIMENTO</v>
          </cell>
          <cell r="M215" t="str">
            <v/>
          </cell>
          <cell r="O215" t="str">
            <v/>
          </cell>
          <cell r="Q215" t="str">
            <v/>
          </cell>
        </row>
        <row r="216">
          <cell r="B216" t="str">
            <v>A210</v>
          </cell>
          <cell r="C216" t="str">
            <v>00210</v>
          </cell>
          <cell r="E216" t="str">
            <v/>
          </cell>
          <cell r="G216" t="str">
            <v/>
          </cell>
          <cell r="I216" t="str">
            <v/>
          </cell>
          <cell r="K216" t="str">
            <v/>
          </cell>
          <cell r="M216" t="str">
            <v/>
          </cell>
          <cell r="O216" t="str">
            <v/>
          </cell>
          <cell r="Q216" t="str">
            <v/>
          </cell>
          <cell r="R216" t="str">
            <v>(COMP 1100 mm)</v>
          </cell>
        </row>
        <row r="217">
          <cell r="B217" t="str">
            <v>A211</v>
          </cell>
          <cell r="C217" t="str">
            <v>00211</v>
          </cell>
          <cell r="E217" t="str">
            <v/>
          </cell>
          <cell r="G217" t="str">
            <v/>
          </cell>
          <cell r="I217" t="str">
            <v/>
          </cell>
          <cell r="K217" t="str">
            <v/>
          </cell>
          <cell r="M217" t="str">
            <v/>
          </cell>
          <cell r="O217" t="str">
            <v/>
          </cell>
          <cell r="Q217" t="str">
            <v/>
          </cell>
          <cell r="R217" t="str">
            <v>(COMP 610 mm)</v>
          </cell>
        </row>
        <row r="218">
          <cell r="B218" t="str">
            <v>A212</v>
          </cell>
          <cell r="C218" t="str">
            <v>00212</v>
          </cell>
          <cell r="E218" t="str">
            <v/>
          </cell>
          <cell r="G218" t="str">
            <v/>
          </cell>
          <cell r="I218" t="str">
            <v/>
          </cell>
          <cell r="K218" t="str">
            <v/>
          </cell>
          <cell r="M218" t="str">
            <v/>
          </cell>
          <cell r="O218" t="str">
            <v/>
          </cell>
          <cell r="Q218" t="str">
            <v/>
          </cell>
          <cell r="R218" t="str">
            <v>(COMP 815 mm)</v>
          </cell>
        </row>
        <row r="219">
          <cell r="B219" t="str">
            <v>A213</v>
          </cell>
          <cell r="C219" t="str">
            <v>00213</v>
          </cell>
          <cell r="E219" t="str">
            <v/>
          </cell>
          <cell r="G219" t="str">
            <v/>
          </cell>
          <cell r="I219" t="str">
            <v/>
          </cell>
          <cell r="K219" t="str">
            <v/>
          </cell>
          <cell r="M219" t="str">
            <v/>
          </cell>
          <cell r="O219" t="str">
            <v/>
          </cell>
          <cell r="Q219" t="str">
            <v/>
          </cell>
          <cell r="R219" t="str">
            <v>(COMP 747 mm)</v>
          </cell>
        </row>
        <row r="220">
          <cell r="B220" t="str">
            <v>A214</v>
          </cell>
          <cell r="C220" t="str">
            <v>00214</v>
          </cell>
          <cell r="E220" t="str">
            <v/>
          </cell>
          <cell r="G220" t="str">
            <v/>
          </cell>
          <cell r="I220" t="str">
            <v/>
          </cell>
          <cell r="K220" t="str">
            <v/>
          </cell>
          <cell r="M220" t="str">
            <v/>
          </cell>
          <cell r="N220" t="str">
            <v>49</v>
          </cell>
          <cell r="O220" t="str">
            <v>COM CINTA LACADA</v>
          </cell>
          <cell r="Q220" t="str">
            <v/>
          </cell>
          <cell r="R220" t="str">
            <v>C\ VEDANTE</v>
          </cell>
        </row>
        <row r="221">
          <cell r="B221" t="str">
            <v>A215</v>
          </cell>
          <cell r="C221" t="str">
            <v>00215</v>
          </cell>
          <cell r="D221" t="str">
            <v>P4</v>
          </cell>
          <cell r="E221" t="str">
            <v>1250G</v>
          </cell>
          <cell r="G221" t="str">
            <v/>
          </cell>
          <cell r="I221" t="str">
            <v/>
          </cell>
          <cell r="J221" t="str">
            <v>A7</v>
          </cell>
          <cell r="K221" t="str">
            <v>A.BLUECHEM ADBLUE</v>
          </cell>
          <cell r="M221" t="str">
            <v/>
          </cell>
          <cell r="O221" t="str">
            <v/>
          </cell>
          <cell r="Q221" t="str">
            <v/>
          </cell>
        </row>
        <row r="222">
          <cell r="B222" t="str">
            <v>A216</v>
          </cell>
          <cell r="C222" t="str">
            <v>00216</v>
          </cell>
          <cell r="E222" t="str">
            <v/>
          </cell>
          <cell r="G222" t="str">
            <v/>
          </cell>
          <cell r="H222" t="str">
            <v>G10</v>
          </cell>
          <cell r="I222" t="str">
            <v>G.FILTAPORTO/ECOLEO</v>
          </cell>
          <cell r="K222" t="str">
            <v/>
          </cell>
          <cell r="L222" t="str">
            <v>02</v>
          </cell>
          <cell r="M222" t="str">
            <v>ASA</v>
          </cell>
          <cell r="O222" t="str">
            <v/>
          </cell>
          <cell r="Q222" t="str">
            <v/>
          </cell>
        </row>
        <row r="223">
          <cell r="B223" t="str">
            <v>A217</v>
          </cell>
          <cell r="C223" t="str">
            <v>00217</v>
          </cell>
          <cell r="E223" t="str">
            <v/>
          </cell>
          <cell r="G223" t="str">
            <v/>
          </cell>
          <cell r="H223" t="str">
            <v>G41</v>
          </cell>
          <cell r="I223" t="str">
            <v>G.ATRAL</v>
          </cell>
          <cell r="K223" t="str">
            <v/>
          </cell>
          <cell r="L223" t="str">
            <v>02</v>
          </cell>
          <cell r="M223" t="str">
            <v>ASA</v>
          </cell>
          <cell r="O223" t="str">
            <v/>
          </cell>
          <cell r="Q223" t="str">
            <v/>
          </cell>
        </row>
        <row r="224">
          <cell r="B224" t="str">
            <v>A218</v>
          </cell>
          <cell r="C224" t="str">
            <v>00218</v>
          </cell>
          <cell r="E224" t="str">
            <v/>
          </cell>
          <cell r="G224" t="str">
            <v/>
          </cell>
          <cell r="I224" t="str">
            <v/>
          </cell>
          <cell r="K224" t="str">
            <v/>
          </cell>
          <cell r="M224" t="str">
            <v/>
          </cell>
          <cell r="N224" t="str">
            <v>52</v>
          </cell>
          <cell r="O224" t="str">
            <v>COM CINTA METÁLICA</v>
          </cell>
          <cell r="Q224" t="str">
            <v/>
          </cell>
          <cell r="R224" t="str">
            <v>C\ VEDANTE</v>
          </cell>
        </row>
        <row r="225">
          <cell r="B225" t="str">
            <v>A219</v>
          </cell>
          <cell r="C225" t="str">
            <v>00219</v>
          </cell>
          <cell r="E225" t="str">
            <v/>
          </cell>
          <cell r="G225" t="str">
            <v/>
          </cell>
          <cell r="H225" t="str">
            <v>G42</v>
          </cell>
          <cell r="I225" t="str">
            <v>G.FILTAPOR</v>
          </cell>
          <cell r="K225" t="str">
            <v/>
          </cell>
          <cell r="L225" t="str">
            <v>02</v>
          </cell>
          <cell r="M225" t="str">
            <v>ASA</v>
          </cell>
          <cell r="O225" t="str">
            <v/>
          </cell>
          <cell r="Q225" t="str">
            <v/>
          </cell>
        </row>
        <row r="226">
          <cell r="B226" t="str">
            <v>A220</v>
          </cell>
          <cell r="C226" t="str">
            <v>00220</v>
          </cell>
          <cell r="E226" t="str">
            <v/>
          </cell>
          <cell r="G226" t="str">
            <v/>
          </cell>
          <cell r="H226" t="str">
            <v>G42</v>
          </cell>
          <cell r="I226" t="str">
            <v>G.FILTAPOR</v>
          </cell>
          <cell r="K226" t="str">
            <v/>
          </cell>
          <cell r="L226" t="str">
            <v>03</v>
          </cell>
          <cell r="M226" t="str">
            <v>CAV</v>
          </cell>
          <cell r="O226" t="str">
            <v/>
          </cell>
          <cell r="Q226" t="str">
            <v/>
          </cell>
        </row>
        <row r="227">
          <cell r="B227" t="str">
            <v>A221</v>
          </cell>
          <cell r="C227" t="str">
            <v>00221</v>
          </cell>
          <cell r="D227" t="str">
            <v>P21</v>
          </cell>
          <cell r="E227" t="str">
            <v>790G</v>
          </cell>
          <cell r="F227" t="str">
            <v>C10</v>
          </cell>
          <cell r="G227" t="str">
            <v>3H1/Y1,7</v>
          </cell>
          <cell r="I227" t="str">
            <v/>
          </cell>
          <cell r="K227" t="str">
            <v/>
          </cell>
          <cell r="M227" t="str">
            <v/>
          </cell>
          <cell r="O227" t="str">
            <v/>
          </cell>
          <cell r="Q227" t="str">
            <v/>
          </cell>
        </row>
        <row r="228">
          <cell r="B228" t="str">
            <v>A222</v>
          </cell>
          <cell r="C228" t="str">
            <v>00222</v>
          </cell>
          <cell r="D228" t="str">
            <v>P22</v>
          </cell>
          <cell r="E228" t="str">
            <v>800G</v>
          </cell>
          <cell r="F228" t="str">
            <v>C12</v>
          </cell>
          <cell r="G228" t="str">
            <v>3H1/Y1,3</v>
          </cell>
          <cell r="I228" t="str">
            <v/>
          </cell>
          <cell r="K228" t="str">
            <v/>
          </cell>
          <cell r="M228" t="str">
            <v/>
          </cell>
          <cell r="O228" t="str">
            <v/>
          </cell>
          <cell r="Q228" t="str">
            <v/>
          </cell>
        </row>
        <row r="229">
          <cell r="B229" t="str">
            <v>A223</v>
          </cell>
          <cell r="C229" t="str">
            <v>00223</v>
          </cell>
          <cell r="E229" t="str">
            <v/>
          </cell>
          <cell r="F229" t="str">
            <v>C13</v>
          </cell>
          <cell r="G229" t="str">
            <v>4G/Y30</v>
          </cell>
          <cell r="I229" t="str">
            <v/>
          </cell>
          <cell r="K229" t="str">
            <v/>
          </cell>
          <cell r="M229" t="str">
            <v/>
          </cell>
          <cell r="O229" t="str">
            <v/>
          </cell>
          <cell r="Q229" t="str">
            <v/>
          </cell>
        </row>
        <row r="230">
          <cell r="B230" t="str">
            <v>A224</v>
          </cell>
          <cell r="C230" t="str">
            <v>00224</v>
          </cell>
          <cell r="E230" t="str">
            <v/>
          </cell>
          <cell r="F230" t="str">
            <v>C10</v>
          </cell>
          <cell r="G230" t="str">
            <v>3H1/Y1,7</v>
          </cell>
          <cell r="I230" t="str">
            <v/>
          </cell>
          <cell r="K230" t="str">
            <v/>
          </cell>
          <cell r="L230" t="str">
            <v>07</v>
          </cell>
          <cell r="M230" t="str">
            <v>C/ VISOR</v>
          </cell>
          <cell r="O230" t="str">
            <v/>
          </cell>
          <cell r="Q230" t="str">
            <v/>
          </cell>
          <cell r="R230" t="str">
            <v>S\ Triangulo e  Capacidade</v>
          </cell>
        </row>
        <row r="231">
          <cell r="B231" t="str">
            <v>A225</v>
          </cell>
          <cell r="C231" t="str">
            <v>00225</v>
          </cell>
          <cell r="E231" t="str">
            <v/>
          </cell>
          <cell r="G231" t="str">
            <v/>
          </cell>
          <cell r="I231" t="str">
            <v/>
          </cell>
          <cell r="K231" t="str">
            <v/>
          </cell>
          <cell r="M231" t="str">
            <v/>
          </cell>
          <cell r="N231" t="str">
            <v>53</v>
          </cell>
          <cell r="O231" t="str">
            <v>CRC (SEGURANÇA) AUTO-VENTILADA</v>
          </cell>
          <cell r="Q231" t="str">
            <v/>
          </cell>
        </row>
        <row r="232">
          <cell r="B232" t="str">
            <v>A226</v>
          </cell>
          <cell r="C232" t="str">
            <v>00226</v>
          </cell>
          <cell r="E232" t="str">
            <v/>
          </cell>
          <cell r="F232" t="str">
            <v>C14</v>
          </cell>
          <cell r="G232" t="str">
            <v>1H2/X106</v>
          </cell>
          <cell r="I232" t="str">
            <v/>
          </cell>
          <cell r="K232" t="str">
            <v/>
          </cell>
          <cell r="L232" t="str">
            <v>02</v>
          </cell>
          <cell r="M232" t="str">
            <v>ASA</v>
          </cell>
          <cell r="O232" t="str">
            <v/>
          </cell>
          <cell r="Q232" t="str">
            <v/>
          </cell>
        </row>
        <row r="233">
          <cell r="B233" t="str">
            <v>A227</v>
          </cell>
          <cell r="C233" t="str">
            <v>00227</v>
          </cell>
          <cell r="E233" t="str">
            <v/>
          </cell>
          <cell r="F233" t="str">
            <v>C15</v>
          </cell>
          <cell r="G233" t="str">
            <v>1H2/X74</v>
          </cell>
          <cell r="I233" t="str">
            <v/>
          </cell>
          <cell r="K233" t="str">
            <v/>
          </cell>
          <cell r="L233" t="str">
            <v>02</v>
          </cell>
          <cell r="M233" t="str">
            <v>ASA</v>
          </cell>
          <cell r="O233" t="str">
            <v/>
          </cell>
          <cell r="Q233" t="str">
            <v/>
          </cell>
        </row>
        <row r="234">
          <cell r="B234" t="str">
            <v>A228</v>
          </cell>
          <cell r="C234" t="str">
            <v>00228</v>
          </cell>
          <cell r="E234" t="str">
            <v/>
          </cell>
          <cell r="F234" t="str">
            <v>C16</v>
          </cell>
          <cell r="G234" t="str">
            <v>1H2/X82</v>
          </cell>
          <cell r="I234" t="str">
            <v/>
          </cell>
          <cell r="K234" t="str">
            <v/>
          </cell>
          <cell r="L234" t="str">
            <v>02</v>
          </cell>
          <cell r="M234" t="str">
            <v>ASA</v>
          </cell>
          <cell r="O234" t="str">
            <v/>
          </cell>
          <cell r="Q234" t="str">
            <v/>
          </cell>
        </row>
        <row r="235">
          <cell r="B235" t="str">
            <v>A229</v>
          </cell>
          <cell r="C235" t="str">
            <v>00229</v>
          </cell>
          <cell r="E235" t="str">
            <v/>
          </cell>
          <cell r="F235" t="str">
            <v>C17</v>
          </cell>
          <cell r="G235" t="str">
            <v>1H2/X90</v>
          </cell>
          <cell r="I235" t="str">
            <v/>
          </cell>
          <cell r="K235" t="str">
            <v/>
          </cell>
          <cell r="L235" t="str">
            <v>02</v>
          </cell>
          <cell r="M235" t="str">
            <v>ASA</v>
          </cell>
          <cell r="O235" t="str">
            <v/>
          </cell>
          <cell r="Q235" t="str">
            <v/>
          </cell>
        </row>
        <row r="236">
          <cell r="B236" t="str">
            <v>A230</v>
          </cell>
          <cell r="C236" t="str">
            <v>00230</v>
          </cell>
          <cell r="E236" t="str">
            <v/>
          </cell>
          <cell r="F236" t="str">
            <v>C18</v>
          </cell>
          <cell r="G236" t="str">
            <v>4G/Y15</v>
          </cell>
          <cell r="I236" t="str">
            <v/>
          </cell>
          <cell r="K236" t="str">
            <v/>
          </cell>
          <cell r="M236" t="str">
            <v/>
          </cell>
          <cell r="O236" t="str">
            <v/>
          </cell>
          <cell r="Q236" t="str">
            <v/>
          </cell>
        </row>
        <row r="237">
          <cell r="B237" t="str">
            <v>A231</v>
          </cell>
          <cell r="C237" t="str">
            <v>00231</v>
          </cell>
          <cell r="E237" t="str">
            <v/>
          </cell>
          <cell r="G237" t="str">
            <v/>
          </cell>
          <cell r="I237" t="str">
            <v/>
          </cell>
          <cell r="K237" t="str">
            <v/>
          </cell>
          <cell r="M237" t="str">
            <v/>
          </cell>
          <cell r="N237" t="str">
            <v>54</v>
          </cell>
          <cell r="O237" t="str">
            <v>SELO INDUÇÃO</v>
          </cell>
          <cell r="Q237" t="str">
            <v/>
          </cell>
        </row>
        <row r="238">
          <cell r="B238" t="str">
            <v>A232</v>
          </cell>
          <cell r="C238" t="str">
            <v>00232</v>
          </cell>
          <cell r="E238" t="str">
            <v/>
          </cell>
          <cell r="G238" t="str">
            <v/>
          </cell>
          <cell r="I238" t="str">
            <v/>
          </cell>
          <cell r="K238" t="str">
            <v/>
          </cell>
          <cell r="M238" t="str">
            <v/>
          </cell>
          <cell r="N238" t="str">
            <v>55</v>
          </cell>
          <cell r="O238" t="str">
            <v>VEDANTE PE</v>
          </cell>
          <cell r="Q238" t="str">
            <v/>
          </cell>
        </row>
        <row r="239">
          <cell r="B239" t="str">
            <v>A233</v>
          </cell>
          <cell r="C239" t="str">
            <v>00233</v>
          </cell>
          <cell r="E239" t="str">
            <v/>
          </cell>
          <cell r="F239" t="str">
            <v>C8</v>
          </cell>
          <cell r="G239" t="str">
            <v>31HA1/Y</v>
          </cell>
          <cell r="I239" t="str">
            <v/>
          </cell>
          <cell r="K239" t="str">
            <v/>
          </cell>
          <cell r="M239" t="str">
            <v/>
          </cell>
          <cell r="N239" t="str">
            <v>56</v>
          </cell>
          <cell r="O239" t="str">
            <v>LX-PAL. MISTA</v>
          </cell>
          <cell r="Q239" t="str">
            <v/>
          </cell>
        </row>
        <row r="240">
          <cell r="B240" t="str">
            <v>A234</v>
          </cell>
          <cell r="C240" t="str">
            <v>00234</v>
          </cell>
          <cell r="E240" t="str">
            <v/>
          </cell>
          <cell r="F240" t="str">
            <v>C8</v>
          </cell>
          <cell r="G240" t="str">
            <v>31HA1/Y</v>
          </cell>
          <cell r="I240" t="str">
            <v/>
          </cell>
          <cell r="K240" t="str">
            <v/>
          </cell>
          <cell r="M240" t="str">
            <v/>
          </cell>
          <cell r="N240" t="str">
            <v>57</v>
          </cell>
          <cell r="O240" t="str">
            <v>MX FDA-FSSC PAL.MET</v>
          </cell>
          <cell r="Q240" t="str">
            <v/>
          </cell>
        </row>
        <row r="241">
          <cell r="B241" t="str">
            <v>A235</v>
          </cell>
          <cell r="C241" t="str">
            <v>00235</v>
          </cell>
          <cell r="E241" t="str">
            <v/>
          </cell>
          <cell r="G241" t="str">
            <v/>
          </cell>
          <cell r="I241" t="str">
            <v/>
          </cell>
          <cell r="K241" t="str">
            <v/>
          </cell>
          <cell r="M241" t="str">
            <v/>
          </cell>
          <cell r="O241" t="str">
            <v/>
          </cell>
          <cell r="Q241" t="str">
            <v/>
          </cell>
          <cell r="R241" t="str">
            <v>INSERT F38</v>
          </cell>
        </row>
        <row r="242">
          <cell r="B242" t="str">
            <v>A236</v>
          </cell>
          <cell r="C242" t="str">
            <v>00236</v>
          </cell>
          <cell r="E242" t="str">
            <v/>
          </cell>
          <cell r="G242" t="str">
            <v/>
          </cell>
          <cell r="I242" t="str">
            <v/>
          </cell>
          <cell r="K242" t="str">
            <v/>
          </cell>
          <cell r="M242" t="str">
            <v/>
          </cell>
          <cell r="O242" t="str">
            <v/>
          </cell>
          <cell r="Q242" t="str">
            <v/>
          </cell>
          <cell r="R242" t="str">
            <v>""variação doseador 9145_TR55""</v>
          </cell>
        </row>
        <row r="243">
          <cell r="B243" t="str">
            <v>A237</v>
          </cell>
          <cell r="C243" t="str">
            <v>00237</v>
          </cell>
          <cell r="E243" t="str">
            <v/>
          </cell>
          <cell r="G243" t="str">
            <v/>
          </cell>
          <cell r="I243" t="str">
            <v/>
          </cell>
          <cell r="K243" t="str">
            <v/>
          </cell>
          <cell r="M243" t="str">
            <v/>
          </cell>
          <cell r="O243" t="str">
            <v/>
          </cell>
          <cell r="Q243" t="str">
            <v/>
          </cell>
          <cell r="R243" t="str">
            <v>""variação doseador 9145_TR60""</v>
          </cell>
        </row>
        <row r="244">
          <cell r="B244" t="str">
            <v>A238</v>
          </cell>
          <cell r="C244" t="str">
            <v>00238</v>
          </cell>
          <cell r="E244" t="str">
            <v/>
          </cell>
          <cell r="G244" t="str">
            <v/>
          </cell>
          <cell r="I244" t="str">
            <v/>
          </cell>
          <cell r="K244" t="str">
            <v/>
          </cell>
          <cell r="M244" t="str">
            <v/>
          </cell>
          <cell r="O244" t="str">
            <v/>
          </cell>
          <cell r="Q244" t="str">
            <v/>
          </cell>
          <cell r="R244" t="str">
            <v>""variação doseador 9016_TR38/23""</v>
          </cell>
        </row>
        <row r="245">
          <cell r="B245" t="str">
            <v>A239</v>
          </cell>
          <cell r="C245" t="str">
            <v>00239</v>
          </cell>
          <cell r="E245" t="str">
            <v/>
          </cell>
          <cell r="F245" t="str">
            <v>C8</v>
          </cell>
          <cell r="G245" t="str">
            <v>31HA1/Y</v>
          </cell>
          <cell r="I245" t="str">
            <v/>
          </cell>
          <cell r="K245" t="str">
            <v/>
          </cell>
          <cell r="M245" t="str">
            <v/>
          </cell>
          <cell r="O245" t="str">
            <v/>
          </cell>
          <cell r="Q245" t="str">
            <v/>
          </cell>
          <cell r="R245" t="str">
            <v>RMX-PAL.PLASTICO</v>
          </cell>
        </row>
        <row r="246">
          <cell r="B246" t="str">
            <v>A240</v>
          </cell>
          <cell r="C246" t="str">
            <v>00240</v>
          </cell>
          <cell r="E246" t="str">
            <v/>
          </cell>
          <cell r="G246" t="str">
            <v/>
          </cell>
          <cell r="I246" t="str">
            <v/>
          </cell>
          <cell r="K246" t="str">
            <v/>
          </cell>
          <cell r="M246" t="str">
            <v/>
          </cell>
          <cell r="O246" t="str">
            <v/>
          </cell>
          <cell r="Q246" t="str">
            <v/>
          </cell>
          <cell r="R246" t="str">
            <v>(COMP 360 mm)</v>
          </cell>
        </row>
        <row r="247">
          <cell r="B247" t="str">
            <v>A241</v>
          </cell>
          <cell r="C247" t="str">
            <v>00241</v>
          </cell>
          <cell r="E247" t="str">
            <v/>
          </cell>
          <cell r="F247" t="str">
            <v>C2</v>
          </cell>
          <cell r="G247" t="str">
            <v>3H1/Y1,4</v>
          </cell>
          <cell r="I247" t="str">
            <v/>
          </cell>
          <cell r="K247" t="str">
            <v/>
          </cell>
          <cell r="M247" t="str">
            <v/>
          </cell>
          <cell r="N247" t="str">
            <v>05</v>
          </cell>
          <cell r="O247" t="str">
            <v>EMPILHAVEL</v>
          </cell>
          <cell r="Q247" t="str">
            <v/>
          </cell>
        </row>
        <row r="248">
          <cell r="B248" t="str">
            <v>A242</v>
          </cell>
          <cell r="C248" t="str">
            <v>00242</v>
          </cell>
          <cell r="E248" t="str">
            <v/>
          </cell>
          <cell r="G248" t="str">
            <v/>
          </cell>
          <cell r="I248" t="str">
            <v/>
          </cell>
          <cell r="K248" t="str">
            <v/>
          </cell>
          <cell r="M248" t="str">
            <v/>
          </cell>
          <cell r="N248" t="str">
            <v>11</v>
          </cell>
          <cell r="O248" t="str">
            <v>AUTO-VENTILADA</v>
          </cell>
          <cell r="Q248" t="str">
            <v/>
          </cell>
          <cell r="R248" t="str">
            <v>INSERT F38</v>
          </cell>
        </row>
        <row r="249">
          <cell r="B249" t="str">
            <v>A243</v>
          </cell>
          <cell r="C249" t="str">
            <v>00243</v>
          </cell>
          <cell r="E249" t="str">
            <v/>
          </cell>
          <cell r="G249" t="str">
            <v/>
          </cell>
          <cell r="I249" t="str">
            <v/>
          </cell>
          <cell r="K249" t="str">
            <v/>
          </cell>
          <cell r="M249" t="str">
            <v/>
          </cell>
          <cell r="O249" t="str">
            <v/>
          </cell>
          <cell r="Q249" t="str">
            <v/>
          </cell>
          <cell r="R249" t="str">
            <v>TAMPA DET325P</v>
          </cell>
        </row>
        <row r="250">
          <cell r="B250" t="str">
            <v>A244</v>
          </cell>
          <cell r="C250" t="str">
            <v>00244</v>
          </cell>
          <cell r="E250" t="str">
            <v/>
          </cell>
          <cell r="G250" t="str">
            <v/>
          </cell>
          <cell r="I250" t="str">
            <v/>
          </cell>
          <cell r="K250" t="str">
            <v/>
          </cell>
          <cell r="M250" t="str">
            <v/>
          </cell>
          <cell r="O250" t="str">
            <v/>
          </cell>
          <cell r="Q250" t="str">
            <v/>
          </cell>
          <cell r="R250" t="str">
            <v>SEM SELO INVIOLAVEL</v>
          </cell>
        </row>
        <row r="251">
          <cell r="B251" t="str">
            <v>A245</v>
          </cell>
          <cell r="C251" t="str">
            <v>00245</v>
          </cell>
          <cell r="E251" t="str">
            <v/>
          </cell>
          <cell r="G251" t="str">
            <v/>
          </cell>
          <cell r="I251" t="str">
            <v/>
          </cell>
          <cell r="K251" t="str">
            <v/>
          </cell>
          <cell r="M251" t="str">
            <v/>
          </cell>
          <cell r="O251" t="str">
            <v/>
          </cell>
          <cell r="Q251" t="str">
            <v/>
          </cell>
          <cell r="R251" t="str">
            <v>TAMPA DET225P</v>
          </cell>
        </row>
        <row r="252">
          <cell r="B252" t="str">
            <v>A246</v>
          </cell>
          <cell r="C252" t="str">
            <v>00246</v>
          </cell>
          <cell r="E252" t="str">
            <v/>
          </cell>
          <cell r="G252" t="str">
            <v/>
          </cell>
          <cell r="I252" t="str">
            <v/>
          </cell>
          <cell r="K252" t="str">
            <v/>
          </cell>
          <cell r="M252" t="str">
            <v/>
          </cell>
          <cell r="O252" t="str">
            <v/>
          </cell>
          <cell r="Q252" t="str">
            <v/>
          </cell>
          <cell r="R252" t="str">
            <v>TAMPA DET200P</v>
          </cell>
        </row>
        <row r="253">
          <cell r="B253" t="str">
            <v>A247</v>
          </cell>
          <cell r="C253" t="str">
            <v>00247</v>
          </cell>
          <cell r="E253" t="str">
            <v/>
          </cell>
          <cell r="G253" t="str">
            <v/>
          </cell>
          <cell r="I253" t="str">
            <v/>
          </cell>
          <cell r="K253" t="str">
            <v/>
          </cell>
          <cell r="M253" t="str">
            <v/>
          </cell>
          <cell r="O253" t="str">
            <v/>
          </cell>
          <cell r="Q253" t="str">
            <v/>
          </cell>
          <cell r="R253" t="str">
            <v>TAMPA DET290P</v>
          </cell>
        </row>
        <row r="254">
          <cell r="B254" t="str">
            <v>A248</v>
          </cell>
          <cell r="C254" t="str">
            <v>00248</v>
          </cell>
          <cell r="E254" t="str">
            <v/>
          </cell>
          <cell r="F254" t="str">
            <v>C19</v>
          </cell>
          <cell r="G254" t="str">
            <v>1H1/Y1,3</v>
          </cell>
          <cell r="I254" t="str">
            <v/>
          </cell>
          <cell r="K254" t="str">
            <v/>
          </cell>
          <cell r="M254" t="str">
            <v/>
          </cell>
          <cell r="O254" t="str">
            <v/>
          </cell>
          <cell r="Q254" t="str">
            <v/>
          </cell>
        </row>
        <row r="255">
          <cell r="B255" t="str">
            <v>A249</v>
          </cell>
          <cell r="C255" t="str">
            <v>00249</v>
          </cell>
          <cell r="E255" t="str">
            <v/>
          </cell>
          <cell r="F255" t="str">
            <v>C19</v>
          </cell>
          <cell r="G255" t="str">
            <v>1H1/Y1,3</v>
          </cell>
          <cell r="I255" t="str">
            <v/>
          </cell>
          <cell r="K255" t="str">
            <v/>
          </cell>
          <cell r="M255" t="str">
            <v/>
          </cell>
          <cell r="O255" t="str">
            <v/>
          </cell>
          <cell r="Q255" t="str">
            <v/>
          </cell>
          <cell r="R255" t="str">
            <v>COEX PA</v>
          </cell>
        </row>
        <row r="256">
          <cell r="B256" t="str">
            <v>A250</v>
          </cell>
          <cell r="C256" t="str">
            <v>00250</v>
          </cell>
          <cell r="E256" t="str">
            <v/>
          </cell>
          <cell r="F256" t="str">
            <v>C10</v>
          </cell>
          <cell r="G256" t="str">
            <v>3H1/Y1,7</v>
          </cell>
          <cell r="I256" t="str">
            <v/>
          </cell>
          <cell r="K256" t="str">
            <v/>
          </cell>
          <cell r="M256" t="str">
            <v/>
          </cell>
          <cell r="O256" t="str">
            <v/>
          </cell>
          <cell r="Q256" t="str">
            <v/>
          </cell>
          <cell r="R256" t="str">
            <v>1100G</v>
          </cell>
        </row>
        <row r="257">
          <cell r="B257" t="str">
            <v>A251</v>
          </cell>
          <cell r="C257" t="str">
            <v>00251</v>
          </cell>
          <cell r="E257" t="str">
            <v/>
          </cell>
          <cell r="F257" t="str">
            <v>C10</v>
          </cell>
          <cell r="G257" t="str">
            <v>3H1/Y1,7</v>
          </cell>
          <cell r="I257" t="str">
            <v/>
          </cell>
          <cell r="K257" t="str">
            <v/>
          </cell>
          <cell r="M257" t="str">
            <v/>
          </cell>
          <cell r="O257" t="str">
            <v/>
          </cell>
          <cell r="Q257" t="str">
            <v/>
          </cell>
          <cell r="R257" t="str">
            <v>1200G</v>
          </cell>
        </row>
        <row r="258">
          <cell r="B258" t="str">
            <v>A252</v>
          </cell>
          <cell r="C258" t="str">
            <v>00252</v>
          </cell>
          <cell r="E258" t="str">
            <v/>
          </cell>
          <cell r="G258" t="str">
            <v/>
          </cell>
          <cell r="I258" t="str">
            <v/>
          </cell>
          <cell r="K258" t="str">
            <v/>
          </cell>
          <cell r="M258" t="str">
            <v/>
          </cell>
          <cell r="O258" t="str">
            <v/>
          </cell>
          <cell r="Q258" t="str">
            <v/>
          </cell>
          <cell r="R258" t="str">
            <v>C\ VEDANTE</v>
          </cell>
        </row>
        <row r="259">
          <cell r="B259" t="str">
            <v>A253</v>
          </cell>
          <cell r="C259" t="str">
            <v>00253</v>
          </cell>
          <cell r="E259" t="str">
            <v/>
          </cell>
          <cell r="F259" t="str">
            <v>C8</v>
          </cell>
          <cell r="G259" t="str">
            <v>31HA1/Y</v>
          </cell>
          <cell r="I259" t="str">
            <v/>
          </cell>
          <cell r="K259" t="str">
            <v/>
          </cell>
          <cell r="M259" t="str">
            <v/>
          </cell>
          <cell r="N259" t="str">
            <v>36</v>
          </cell>
          <cell r="O259" t="str">
            <v>FSSC MX-PAL. P</v>
          </cell>
          <cell r="Q259" t="str">
            <v/>
          </cell>
          <cell r="R259" t="str">
            <v>C\ VISOR</v>
          </cell>
        </row>
        <row r="260">
          <cell r="B260" t="str">
            <v>A254</v>
          </cell>
          <cell r="C260" t="str">
            <v>00254</v>
          </cell>
          <cell r="E260" t="str">
            <v/>
          </cell>
          <cell r="F260" t="str">
            <v>C8</v>
          </cell>
          <cell r="G260" t="str">
            <v>31HA1/Y</v>
          </cell>
          <cell r="I260" t="str">
            <v/>
          </cell>
          <cell r="K260" t="str">
            <v/>
          </cell>
          <cell r="M260" t="str">
            <v/>
          </cell>
          <cell r="N260" t="str">
            <v>38</v>
          </cell>
          <cell r="O260" t="str">
            <v>FDA LX-PAL. M</v>
          </cell>
          <cell r="Q260" t="str">
            <v/>
          </cell>
          <cell r="R260" t="str">
            <v>VENTEIO</v>
          </cell>
        </row>
        <row r="261">
          <cell r="B261" t="str">
            <v>A255</v>
          </cell>
          <cell r="C261" t="str">
            <v>00255</v>
          </cell>
          <cell r="E261" t="str">
            <v/>
          </cell>
          <cell r="G261" t="str">
            <v/>
          </cell>
          <cell r="I261" t="str">
            <v/>
          </cell>
          <cell r="K261" t="str">
            <v/>
          </cell>
          <cell r="M261" t="str">
            <v/>
          </cell>
          <cell r="N261" t="str">
            <v>14</v>
          </cell>
          <cell r="O261" t="str">
            <v>SEGURANÇA</v>
          </cell>
          <cell r="Q261" t="str">
            <v/>
          </cell>
          <cell r="R261" t="str">
            <v>C\ VEDANTE</v>
          </cell>
        </row>
        <row r="262">
          <cell r="B262" t="str">
            <v>A256</v>
          </cell>
          <cell r="C262" t="str">
            <v>00256</v>
          </cell>
          <cell r="E262" t="str">
            <v/>
          </cell>
          <cell r="G262" t="str">
            <v/>
          </cell>
          <cell r="I262" t="str">
            <v/>
          </cell>
          <cell r="K262" t="str">
            <v/>
          </cell>
          <cell r="M262" t="str">
            <v/>
          </cell>
          <cell r="O262" t="str">
            <v/>
          </cell>
          <cell r="Q262" t="str">
            <v/>
          </cell>
          <cell r="R262" t="str">
            <v>""variação doseador 9145_TR50""</v>
          </cell>
        </row>
        <row r="263">
          <cell r="B263" t="str">
            <v>A257</v>
          </cell>
          <cell r="C263" t="str">
            <v>00257</v>
          </cell>
          <cell r="E263" t="str">
            <v/>
          </cell>
          <cell r="G263" t="str">
            <v/>
          </cell>
          <cell r="I263" t="str">
            <v/>
          </cell>
          <cell r="K263" t="str">
            <v/>
          </cell>
          <cell r="M263" t="str">
            <v/>
          </cell>
          <cell r="O263" t="str">
            <v/>
          </cell>
          <cell r="Q263" t="str">
            <v/>
          </cell>
          <cell r="R263" t="str">
            <v>(COMP 400 mm)</v>
          </cell>
        </row>
        <row r="264">
          <cell r="B264" t="str">
            <v>A258</v>
          </cell>
          <cell r="C264" t="str">
            <v>00258</v>
          </cell>
          <cell r="D264" t="str">
            <v>P7</v>
          </cell>
          <cell r="E264" t="str">
            <v>1400G</v>
          </cell>
          <cell r="G264" t="str">
            <v/>
          </cell>
          <cell r="I264" t="str">
            <v/>
          </cell>
          <cell r="K264" t="str">
            <v/>
          </cell>
          <cell r="M264" t="str">
            <v/>
          </cell>
          <cell r="O264" t="str">
            <v/>
          </cell>
          <cell r="Q264" t="str">
            <v/>
          </cell>
          <cell r="R264" t="str">
            <v>XL</v>
          </cell>
        </row>
        <row r="265">
          <cell r="B265" t="str">
            <v>A259</v>
          </cell>
          <cell r="C265" t="str">
            <v>00259</v>
          </cell>
          <cell r="E265" t="str">
            <v/>
          </cell>
          <cell r="F265" t="str">
            <v>C10</v>
          </cell>
          <cell r="G265" t="str">
            <v>3H1/Y1,7</v>
          </cell>
          <cell r="I265" t="str">
            <v/>
          </cell>
          <cell r="K265" t="str">
            <v/>
          </cell>
          <cell r="M265" t="str">
            <v/>
          </cell>
          <cell r="O265" t="str">
            <v/>
          </cell>
          <cell r="Q265" t="str">
            <v/>
          </cell>
          <cell r="R265" t="str">
            <v>XL</v>
          </cell>
        </row>
        <row r="266">
          <cell r="B266" t="str">
            <v>A260</v>
          </cell>
          <cell r="C266" t="str">
            <v>00260</v>
          </cell>
          <cell r="E266" t="str">
            <v/>
          </cell>
          <cell r="F266" t="str">
            <v>C1</v>
          </cell>
          <cell r="G266" t="str">
            <v>3H1/Y1,2</v>
          </cell>
          <cell r="I266" t="str">
            <v/>
          </cell>
          <cell r="K266" t="str">
            <v/>
          </cell>
          <cell r="M266" t="str">
            <v/>
          </cell>
          <cell r="O266" t="str">
            <v/>
          </cell>
          <cell r="Q266" t="str">
            <v/>
          </cell>
          <cell r="R266" t="str">
            <v>TRØ55</v>
          </cell>
        </row>
        <row r="267">
          <cell r="B267" t="str">
            <v>A261</v>
          </cell>
          <cell r="C267" t="str">
            <v>00261</v>
          </cell>
          <cell r="D267" t="str">
            <v>P7</v>
          </cell>
          <cell r="E267" t="str">
            <v>1400G</v>
          </cell>
          <cell r="F267" t="str">
            <v>C10</v>
          </cell>
          <cell r="G267" t="str">
            <v>3H1/Y1,7</v>
          </cell>
          <cell r="I267" t="str">
            <v/>
          </cell>
          <cell r="K267" t="str">
            <v/>
          </cell>
          <cell r="M267" t="str">
            <v/>
          </cell>
          <cell r="O267" t="str">
            <v/>
          </cell>
          <cell r="Q267" t="str">
            <v/>
          </cell>
        </row>
        <row r="268">
          <cell r="B268" t="str">
            <v>A262</v>
          </cell>
          <cell r="C268" t="str">
            <v>00262</v>
          </cell>
          <cell r="E268" t="str">
            <v/>
          </cell>
          <cell r="F268" t="str">
            <v>C12</v>
          </cell>
          <cell r="G268" t="str">
            <v>3H1/Y1,3</v>
          </cell>
          <cell r="I268" t="str">
            <v/>
          </cell>
          <cell r="K268" t="str">
            <v/>
          </cell>
          <cell r="M268" t="str">
            <v/>
          </cell>
          <cell r="O268" t="str">
            <v/>
          </cell>
          <cell r="Q268" t="str">
            <v/>
          </cell>
          <cell r="R268" t="str">
            <v>COEX PA</v>
          </cell>
        </row>
        <row r="269">
          <cell r="B269" t="str">
            <v>A263</v>
          </cell>
          <cell r="C269" t="str">
            <v>00263</v>
          </cell>
          <cell r="D269" t="str">
            <v>P7</v>
          </cell>
          <cell r="E269" t="str">
            <v>1400G</v>
          </cell>
          <cell r="F269" t="str">
            <v>C10</v>
          </cell>
          <cell r="G269" t="str">
            <v>3H1/Y1,7</v>
          </cell>
          <cell r="I269" t="str">
            <v/>
          </cell>
          <cell r="K269" t="str">
            <v/>
          </cell>
          <cell r="M269" t="str">
            <v/>
          </cell>
          <cell r="O269" t="str">
            <v/>
          </cell>
          <cell r="Q269" t="str">
            <v/>
          </cell>
          <cell r="R269" t="str">
            <v>COEX PA</v>
          </cell>
        </row>
        <row r="270">
          <cell r="B270" t="str">
            <v>A264</v>
          </cell>
          <cell r="C270" t="str">
            <v>00264</v>
          </cell>
          <cell r="D270" t="str">
            <v>P7</v>
          </cell>
          <cell r="E270" t="str">
            <v>1400G</v>
          </cell>
          <cell r="F270" t="str">
            <v>C10</v>
          </cell>
          <cell r="G270" t="str">
            <v>3H1/Y1,7</v>
          </cell>
          <cell r="I270" t="str">
            <v/>
          </cell>
          <cell r="K270" t="str">
            <v/>
          </cell>
          <cell r="M270" t="str">
            <v/>
          </cell>
          <cell r="O270" t="str">
            <v/>
          </cell>
          <cell r="Q270" t="str">
            <v/>
          </cell>
          <cell r="R270" t="str">
            <v>Ø63/32</v>
          </cell>
        </row>
        <row r="271">
          <cell r="B271" t="str">
            <v>A265</v>
          </cell>
          <cell r="C271" t="str">
            <v>00265</v>
          </cell>
          <cell r="E271" t="str">
            <v/>
          </cell>
          <cell r="G271" t="str">
            <v/>
          </cell>
          <cell r="I271" t="str">
            <v/>
          </cell>
          <cell r="K271" t="str">
            <v/>
          </cell>
          <cell r="M271" t="str">
            <v/>
          </cell>
          <cell r="O271" t="str">
            <v/>
          </cell>
          <cell r="Q271" t="str">
            <v/>
          </cell>
          <cell r="R271" t="str">
            <v>INSERT F15 e/PTFE/PP lock</v>
          </cell>
        </row>
        <row r="272">
          <cell r="B272" t="str">
            <v>A266</v>
          </cell>
          <cell r="C272" t="str">
            <v>00266</v>
          </cell>
          <cell r="E272" t="str">
            <v/>
          </cell>
          <cell r="F272" t="str">
            <v>C19</v>
          </cell>
          <cell r="G272" t="str">
            <v>1H1/Y1,3</v>
          </cell>
          <cell r="I272" t="str">
            <v/>
          </cell>
          <cell r="K272" t="str">
            <v/>
          </cell>
          <cell r="M272" t="str">
            <v/>
          </cell>
          <cell r="O272" t="str">
            <v/>
          </cell>
          <cell r="Q272" t="str">
            <v/>
          </cell>
          <cell r="R272" t="str">
            <v>Ø50</v>
          </cell>
        </row>
        <row r="273">
          <cell r="B273" t="str">
            <v>A267</v>
          </cell>
          <cell r="C273" t="str">
            <v>00267</v>
          </cell>
          <cell r="E273" t="str">
            <v/>
          </cell>
          <cell r="F273" t="str">
            <v>C19</v>
          </cell>
          <cell r="G273" t="str">
            <v>1H1/Y1,3</v>
          </cell>
          <cell r="I273" t="str">
            <v/>
          </cell>
          <cell r="K273" t="str">
            <v/>
          </cell>
          <cell r="M273" t="str">
            <v/>
          </cell>
          <cell r="O273" t="str">
            <v/>
          </cell>
          <cell r="Q273" t="str">
            <v/>
          </cell>
          <cell r="R273" t="str">
            <v>Ø50 COEX PA</v>
          </cell>
        </row>
        <row r="274">
          <cell r="B274" t="str">
            <v>A268</v>
          </cell>
          <cell r="C274" t="str">
            <v>00268</v>
          </cell>
          <cell r="E274" t="str">
            <v/>
          </cell>
          <cell r="G274" t="str">
            <v/>
          </cell>
          <cell r="I274" t="str">
            <v/>
          </cell>
          <cell r="K274" t="str">
            <v/>
          </cell>
          <cell r="M274" t="str">
            <v/>
          </cell>
          <cell r="O274" t="str">
            <v/>
          </cell>
          <cell r="Q274" t="str">
            <v/>
          </cell>
        </row>
        <row r="275">
          <cell r="B275" t="str">
            <v>A269</v>
          </cell>
          <cell r="C275" t="str">
            <v>00269</v>
          </cell>
          <cell r="E275" t="str">
            <v/>
          </cell>
          <cell r="F275" t="str">
            <v>C3</v>
          </cell>
          <cell r="G275" t="str">
            <v>3H1/Y1,6</v>
          </cell>
          <cell r="I275" t="str">
            <v/>
          </cell>
          <cell r="K275" t="str">
            <v/>
          </cell>
          <cell r="M275" t="str">
            <v/>
          </cell>
          <cell r="O275" t="str">
            <v/>
          </cell>
          <cell r="Q275" t="str">
            <v/>
          </cell>
        </row>
        <row r="276">
          <cell r="B276" t="str">
            <v>A270</v>
          </cell>
          <cell r="C276" t="str">
            <v>00270</v>
          </cell>
          <cell r="E276" t="str">
            <v/>
          </cell>
          <cell r="F276" t="str">
            <v>C3</v>
          </cell>
          <cell r="G276" t="str">
            <v>3H1/Y1,6</v>
          </cell>
          <cell r="H276" t="str">
            <v>GMPT1</v>
          </cell>
          <cell r="I276" t="str">
            <v>G. QUILOSA</v>
          </cell>
          <cell r="K276" t="str">
            <v/>
          </cell>
          <cell r="M276" t="str">
            <v/>
          </cell>
          <cell r="O276" t="str">
            <v/>
          </cell>
          <cell r="Q276" t="str">
            <v/>
          </cell>
        </row>
        <row r="277">
          <cell r="B277" t="str">
            <v>A271</v>
          </cell>
          <cell r="C277" t="str">
            <v>00271</v>
          </cell>
          <cell r="E277" t="str">
            <v/>
          </cell>
          <cell r="G277" t="str">
            <v/>
          </cell>
          <cell r="I277" t="str">
            <v/>
          </cell>
          <cell r="J277" t="str">
            <v>SMPT1</v>
          </cell>
          <cell r="K277" t="str">
            <v>S. PROL SUTEC</v>
          </cell>
          <cell r="M277" t="str">
            <v/>
          </cell>
          <cell r="O277" t="str">
            <v/>
          </cell>
          <cell r="Q277" t="str">
            <v/>
          </cell>
        </row>
        <row r="278">
          <cell r="B278" t="str">
            <v>A272</v>
          </cell>
          <cell r="C278" t="str">
            <v>00272</v>
          </cell>
          <cell r="E278" t="str">
            <v/>
          </cell>
          <cell r="F278" t="str">
            <v>C3</v>
          </cell>
          <cell r="G278" t="str">
            <v>3H1/Y1,6</v>
          </cell>
          <cell r="I278" t="str">
            <v/>
          </cell>
          <cell r="J278" t="str">
            <v>SMPT2</v>
          </cell>
          <cell r="K278" t="str">
            <v>S. NEO BRIKENSA</v>
          </cell>
          <cell r="M278" t="str">
            <v/>
          </cell>
          <cell r="O278" t="str">
            <v/>
          </cell>
          <cell r="Q278" t="str">
            <v/>
          </cell>
        </row>
        <row r="279">
          <cell r="B279" t="str">
            <v>A273</v>
          </cell>
          <cell r="C279" t="str">
            <v>00273</v>
          </cell>
          <cell r="E279" t="str">
            <v/>
          </cell>
          <cell r="F279" t="str">
            <v>C3</v>
          </cell>
          <cell r="G279" t="str">
            <v>3H1/Y1,6</v>
          </cell>
          <cell r="I279" t="str">
            <v/>
          </cell>
          <cell r="J279" t="str">
            <v>SMPT3</v>
          </cell>
          <cell r="K279" t="str">
            <v>S. FAPL SISA</v>
          </cell>
          <cell r="M279" t="str">
            <v/>
          </cell>
          <cell r="O279" t="str">
            <v/>
          </cell>
          <cell r="Q279" t="str">
            <v/>
          </cell>
        </row>
        <row r="280">
          <cell r="B280" t="str">
            <v>A274</v>
          </cell>
          <cell r="C280" t="str">
            <v>00274</v>
          </cell>
          <cell r="E280" t="str">
            <v/>
          </cell>
          <cell r="F280" t="str">
            <v>C10</v>
          </cell>
          <cell r="G280" t="str">
            <v>3H1/Y1,7</v>
          </cell>
          <cell r="I280" t="str">
            <v/>
          </cell>
          <cell r="J280" t="str">
            <v>SMPT4</v>
          </cell>
          <cell r="K280" t="str">
            <v>S. ARCO</v>
          </cell>
          <cell r="M280" t="str">
            <v/>
          </cell>
          <cell r="O280" t="str">
            <v/>
          </cell>
          <cell r="Q280" t="str">
            <v/>
          </cell>
        </row>
        <row r="281">
          <cell r="B281" t="str">
            <v>A275</v>
          </cell>
          <cell r="C281" t="str">
            <v>00275</v>
          </cell>
          <cell r="E281" t="str">
            <v/>
          </cell>
          <cell r="F281" t="str">
            <v>C3</v>
          </cell>
          <cell r="G281" t="str">
            <v>3H1/Y1,6</v>
          </cell>
          <cell r="I281" t="str">
            <v/>
          </cell>
          <cell r="J281" t="str">
            <v>SMPT5</v>
          </cell>
          <cell r="K281" t="str">
            <v>S. SAMT</v>
          </cell>
          <cell r="M281" t="str">
            <v/>
          </cell>
          <cell r="O281" t="str">
            <v/>
          </cell>
          <cell r="Q281" t="str">
            <v/>
          </cell>
        </row>
        <row r="282">
          <cell r="B282" t="str">
            <v>A276</v>
          </cell>
          <cell r="C282" t="str">
            <v>00276</v>
          </cell>
          <cell r="E282" t="str">
            <v/>
          </cell>
          <cell r="F282" t="str">
            <v>C3</v>
          </cell>
          <cell r="G282" t="str">
            <v>3H1/Y1,6</v>
          </cell>
          <cell r="I282" t="str">
            <v/>
          </cell>
          <cell r="J282" t="str">
            <v>SMPT6</v>
          </cell>
          <cell r="K282" t="str">
            <v>S. LAVALBLIC</v>
          </cell>
          <cell r="M282" t="str">
            <v/>
          </cell>
          <cell r="O282" t="str">
            <v/>
          </cell>
          <cell r="Q282" t="str">
            <v/>
          </cell>
        </row>
        <row r="283">
          <cell r="B283" t="str">
            <v>A277</v>
          </cell>
          <cell r="C283" t="str">
            <v>00277</v>
          </cell>
          <cell r="E283" t="str">
            <v/>
          </cell>
          <cell r="F283" t="str">
            <v>C19</v>
          </cell>
          <cell r="G283" t="str">
            <v>1H1/Y1,3</v>
          </cell>
          <cell r="I283" t="str">
            <v/>
          </cell>
          <cell r="K283" t="str">
            <v/>
          </cell>
          <cell r="M283" t="str">
            <v/>
          </cell>
          <cell r="O283" t="str">
            <v/>
          </cell>
          <cell r="Q283" t="str">
            <v/>
          </cell>
        </row>
        <row r="284">
          <cell r="B284" t="str">
            <v>A278</v>
          </cell>
          <cell r="C284" t="str">
            <v>00278</v>
          </cell>
          <cell r="E284" t="str">
            <v/>
          </cell>
          <cell r="F284" t="str">
            <v>C10</v>
          </cell>
          <cell r="G284" t="str">
            <v>3H1/Y1,7</v>
          </cell>
          <cell r="I284" t="str">
            <v/>
          </cell>
          <cell r="J284" t="str">
            <v>SMPT7</v>
          </cell>
          <cell r="K284" t="str">
            <v>S. ARCO</v>
          </cell>
          <cell r="M284" t="str">
            <v/>
          </cell>
          <cell r="O284" t="str">
            <v/>
          </cell>
          <cell r="Q284" t="str">
            <v/>
          </cell>
        </row>
        <row r="285">
          <cell r="B285" t="str">
            <v>A279</v>
          </cell>
          <cell r="C285" t="str">
            <v>00279</v>
          </cell>
          <cell r="E285" t="str">
            <v/>
          </cell>
          <cell r="F285" t="str">
            <v>C1</v>
          </cell>
          <cell r="G285" t="str">
            <v>3H1/Y1,2</v>
          </cell>
          <cell r="I285" t="str">
            <v/>
          </cell>
          <cell r="J285" t="str">
            <v>SMPT8</v>
          </cell>
          <cell r="K285" t="str">
            <v>S. SRJ DISOL S</v>
          </cell>
          <cell r="M285" t="str">
            <v/>
          </cell>
          <cell r="O285" t="str">
            <v/>
          </cell>
          <cell r="Q285" t="str">
            <v/>
          </cell>
          <cell r="R285" t="str">
            <v>Ø50</v>
          </cell>
        </row>
        <row r="286">
          <cell r="B286" t="str">
            <v>A280</v>
          </cell>
          <cell r="C286" t="str">
            <v>00280</v>
          </cell>
          <cell r="E286" t="str">
            <v/>
          </cell>
          <cell r="F286" t="str">
            <v>C3</v>
          </cell>
          <cell r="G286" t="str">
            <v>3H1/Y1,6</v>
          </cell>
          <cell r="H286" t="str">
            <v>GMPT2</v>
          </cell>
          <cell r="I286" t="str">
            <v>G.IBERQUIM</v>
          </cell>
          <cell r="K286" t="str">
            <v/>
          </cell>
          <cell r="M286" t="str">
            <v/>
          </cell>
          <cell r="O286" t="str">
            <v/>
          </cell>
          <cell r="Q286" t="str">
            <v/>
          </cell>
        </row>
        <row r="287">
          <cell r="B287" t="str">
            <v>A281</v>
          </cell>
          <cell r="C287" t="str">
            <v>00281</v>
          </cell>
          <cell r="E287" t="str">
            <v/>
          </cell>
          <cell r="F287" t="str">
            <v>C3</v>
          </cell>
          <cell r="G287" t="str">
            <v>3H1/Y1,6</v>
          </cell>
          <cell r="I287" t="str">
            <v/>
          </cell>
          <cell r="K287" t="str">
            <v/>
          </cell>
          <cell r="M287" t="str">
            <v/>
          </cell>
          <cell r="O287" t="str">
            <v/>
          </cell>
          <cell r="Q287" t="str">
            <v/>
          </cell>
          <cell r="R287" t="str">
            <v>Ø77</v>
          </cell>
        </row>
        <row r="288">
          <cell r="B288" t="str">
            <v>A282</v>
          </cell>
          <cell r="C288" t="str">
            <v>00282</v>
          </cell>
          <cell r="E288" t="str">
            <v/>
          </cell>
          <cell r="F288" t="str">
            <v>C3</v>
          </cell>
          <cell r="G288" t="str">
            <v>3H1/Y1,6</v>
          </cell>
          <cell r="I288" t="str">
            <v/>
          </cell>
          <cell r="J288" t="str">
            <v>SMPT9</v>
          </cell>
          <cell r="K288" t="str">
            <v>S. E.Q</v>
          </cell>
          <cell r="M288" t="str">
            <v/>
          </cell>
          <cell r="O288" t="str">
            <v/>
          </cell>
          <cell r="Q288" t="str">
            <v/>
          </cell>
        </row>
        <row r="289">
          <cell r="B289" t="str">
            <v>A283</v>
          </cell>
          <cell r="C289" t="str">
            <v>00283</v>
          </cell>
          <cell r="D289" t="str">
            <v>P23</v>
          </cell>
          <cell r="E289" t="str">
            <v>850G</v>
          </cell>
          <cell r="F289" t="str">
            <v>C10</v>
          </cell>
          <cell r="G289" t="str">
            <v>3H1/Y1,7</v>
          </cell>
          <cell r="I289" t="str">
            <v/>
          </cell>
          <cell r="K289" t="str">
            <v/>
          </cell>
          <cell r="M289" t="str">
            <v/>
          </cell>
          <cell r="O289" t="str">
            <v/>
          </cell>
          <cell r="Q289" t="str">
            <v/>
          </cell>
          <cell r="R289" t="str">
            <v>XL C\VISOR</v>
          </cell>
        </row>
        <row r="290">
          <cell r="B290" t="str">
            <v>A284</v>
          </cell>
          <cell r="C290" t="str">
            <v>00284</v>
          </cell>
          <cell r="E290" t="str">
            <v/>
          </cell>
          <cell r="F290" t="str">
            <v>C9</v>
          </cell>
          <cell r="G290" t="str">
            <v>1H1/Y2.1</v>
          </cell>
          <cell r="I290" t="str">
            <v/>
          </cell>
          <cell r="K290" t="str">
            <v/>
          </cell>
          <cell r="M290" t="str">
            <v/>
          </cell>
          <cell r="O290" t="str">
            <v/>
          </cell>
          <cell r="Q290" t="str">
            <v/>
          </cell>
          <cell r="R290" t="str">
            <v>SMP 1BOCA VENTILADA</v>
          </cell>
        </row>
        <row r="291">
          <cell r="B291" t="str">
            <v>A285</v>
          </cell>
          <cell r="C291" t="str">
            <v>00285</v>
          </cell>
          <cell r="E291" t="str">
            <v/>
          </cell>
          <cell r="F291" t="str">
            <v>C3</v>
          </cell>
          <cell r="G291" t="str">
            <v>3H1/Y1,6</v>
          </cell>
          <cell r="I291" t="str">
            <v/>
          </cell>
          <cell r="J291" t="str">
            <v>SMPT10</v>
          </cell>
          <cell r="K291" t="str">
            <v>S. ARCO</v>
          </cell>
          <cell r="M291" t="str">
            <v/>
          </cell>
          <cell r="O291" t="str">
            <v/>
          </cell>
          <cell r="Q291" t="str">
            <v/>
          </cell>
        </row>
        <row r="292">
          <cell r="B292" t="str">
            <v>A286</v>
          </cell>
          <cell r="C292" t="str">
            <v>00286</v>
          </cell>
          <cell r="E292" t="str">
            <v/>
          </cell>
          <cell r="F292" t="str">
            <v>C1</v>
          </cell>
          <cell r="G292" t="str">
            <v>3H1/Y1,2</v>
          </cell>
          <cell r="I292" t="str">
            <v/>
          </cell>
          <cell r="J292" t="str">
            <v>SMPT8</v>
          </cell>
          <cell r="K292" t="str">
            <v>S. SRJ DISOL S</v>
          </cell>
          <cell r="M292" t="str">
            <v/>
          </cell>
          <cell r="O292" t="str">
            <v/>
          </cell>
          <cell r="Q292" t="str">
            <v/>
          </cell>
          <cell r="R292" t="str">
            <v>Ø55</v>
          </cell>
        </row>
        <row r="293">
          <cell r="B293" t="str">
            <v>A287</v>
          </cell>
          <cell r="C293" t="str">
            <v>00287</v>
          </cell>
          <cell r="D293" t="str">
            <v>P24</v>
          </cell>
          <cell r="E293" t="str">
            <v>950G</v>
          </cell>
          <cell r="F293" t="str">
            <v>C10</v>
          </cell>
          <cell r="G293" t="str">
            <v>3H1/Y1,7</v>
          </cell>
          <cell r="I293" t="str">
            <v/>
          </cell>
          <cell r="K293" t="str">
            <v/>
          </cell>
          <cell r="M293" t="str">
            <v/>
          </cell>
          <cell r="O293" t="str">
            <v/>
          </cell>
          <cell r="Q293" t="str">
            <v/>
          </cell>
          <cell r="R293" t="str">
            <v>XL C\VISOR</v>
          </cell>
        </row>
        <row r="294">
          <cell r="B294" t="str">
            <v>A288</v>
          </cell>
          <cell r="C294" t="str">
            <v>00288</v>
          </cell>
          <cell r="E294" t="str">
            <v/>
          </cell>
          <cell r="F294" t="str">
            <v>C1</v>
          </cell>
          <cell r="G294" t="str">
            <v>3H1/Y1,2</v>
          </cell>
          <cell r="I294" t="str">
            <v/>
          </cell>
          <cell r="J294" t="str">
            <v>SMPT6</v>
          </cell>
          <cell r="K294" t="str">
            <v>S. LAVALBLIC</v>
          </cell>
          <cell r="M294" t="str">
            <v/>
          </cell>
          <cell r="O294" t="str">
            <v/>
          </cell>
          <cell r="Q294" t="str">
            <v/>
          </cell>
        </row>
        <row r="295">
          <cell r="B295" t="str">
            <v>A289</v>
          </cell>
          <cell r="C295" t="str">
            <v>00289</v>
          </cell>
          <cell r="E295" t="str">
            <v/>
          </cell>
          <cell r="G295" t="str">
            <v/>
          </cell>
          <cell r="I295" t="str">
            <v/>
          </cell>
          <cell r="K295" t="str">
            <v/>
          </cell>
          <cell r="M295" t="str">
            <v/>
          </cell>
          <cell r="N295" t="str">
            <v>53</v>
          </cell>
          <cell r="O295" t="str">
            <v>CRC (SEGURANÇA) AUTO-VENTILADA</v>
          </cell>
          <cell r="Q295" t="str">
            <v/>
          </cell>
        </row>
        <row r="296">
          <cell r="B296" t="str">
            <v>A290</v>
          </cell>
          <cell r="C296" t="str">
            <v>00290</v>
          </cell>
          <cell r="E296" t="str">
            <v/>
          </cell>
          <cell r="F296" t="str">
            <v>C3</v>
          </cell>
          <cell r="G296" t="str">
            <v>3H1/Y1,6</v>
          </cell>
          <cell r="I296" t="str">
            <v/>
          </cell>
          <cell r="K296" t="str">
            <v/>
          </cell>
          <cell r="M296" t="str">
            <v/>
          </cell>
          <cell r="O296" t="str">
            <v/>
          </cell>
          <cell r="Q296" t="str">
            <v/>
          </cell>
          <cell r="R296" t="str">
            <v>1/2 PAL</v>
          </cell>
        </row>
        <row r="297">
          <cell r="B297" t="str">
            <v>A291</v>
          </cell>
          <cell r="C297" t="str">
            <v>00291</v>
          </cell>
          <cell r="E297" t="str">
            <v/>
          </cell>
          <cell r="G297" t="str">
            <v/>
          </cell>
          <cell r="I297" t="str">
            <v/>
          </cell>
          <cell r="K297" t="str">
            <v/>
          </cell>
          <cell r="M297" t="str">
            <v/>
          </cell>
          <cell r="O297" t="str">
            <v/>
          </cell>
          <cell r="Q297" t="str">
            <v/>
          </cell>
          <cell r="R297" t="str">
            <v>1/2 PAL</v>
          </cell>
        </row>
        <row r="298">
          <cell r="B298" t="str">
            <v>A292</v>
          </cell>
          <cell r="C298" t="str">
            <v>00292</v>
          </cell>
          <cell r="E298" t="str">
            <v/>
          </cell>
          <cell r="F298" t="str">
            <v>C20</v>
          </cell>
          <cell r="G298" t="str">
            <v>3H1/Z/100</v>
          </cell>
          <cell r="I298" t="str">
            <v/>
          </cell>
          <cell r="K298" t="str">
            <v/>
          </cell>
          <cell r="M298" t="str">
            <v/>
          </cell>
          <cell r="O298" t="str">
            <v/>
          </cell>
          <cell r="Q298" t="str">
            <v/>
          </cell>
        </row>
        <row r="299">
          <cell r="B299" t="str">
            <v>A293</v>
          </cell>
          <cell r="C299" t="str">
            <v>00293</v>
          </cell>
          <cell r="E299" t="str">
            <v/>
          </cell>
          <cell r="G299" t="str">
            <v/>
          </cell>
          <cell r="H299" t="str">
            <v>G43</v>
          </cell>
          <cell r="I299" t="str">
            <v>G.RETRA OIL</v>
          </cell>
          <cell r="K299" t="str">
            <v/>
          </cell>
          <cell r="L299" t="str">
            <v>02</v>
          </cell>
          <cell r="M299" t="str">
            <v>ASA</v>
          </cell>
          <cell r="O299" t="str">
            <v/>
          </cell>
          <cell r="Q299" t="str">
            <v/>
          </cell>
        </row>
        <row r="300">
          <cell r="B300" t="str">
            <v>A294</v>
          </cell>
          <cell r="C300" t="str">
            <v>00294</v>
          </cell>
          <cell r="E300" t="str">
            <v/>
          </cell>
          <cell r="G300" t="str">
            <v/>
          </cell>
          <cell r="I300" t="str">
            <v/>
          </cell>
          <cell r="K300" t="str">
            <v/>
          </cell>
          <cell r="M300" t="str">
            <v/>
          </cell>
          <cell r="O300" t="str">
            <v/>
          </cell>
          <cell r="Q300" t="str">
            <v/>
          </cell>
          <cell r="R300" t="str">
            <v>LX-PAL. MAD.SEM UN</v>
          </cell>
        </row>
        <row r="301">
          <cell r="B301" t="str">
            <v>A295</v>
          </cell>
          <cell r="C301" t="str">
            <v>00295</v>
          </cell>
          <cell r="E301" t="str">
            <v/>
          </cell>
          <cell r="F301" t="str">
            <v>C8</v>
          </cell>
          <cell r="G301" t="str">
            <v>31HA1/Y</v>
          </cell>
          <cell r="I301" t="str">
            <v/>
          </cell>
          <cell r="K301" t="str">
            <v/>
          </cell>
          <cell r="M301" t="str">
            <v/>
          </cell>
          <cell r="O301" t="str">
            <v/>
          </cell>
          <cell r="Q301" t="str">
            <v/>
          </cell>
          <cell r="R301" t="str">
            <v>MX-PAL. MET VENTEIO</v>
          </cell>
        </row>
        <row r="302">
          <cell r="B302" t="str">
            <v>A296</v>
          </cell>
          <cell r="C302" t="str">
            <v>00296</v>
          </cell>
          <cell r="E302" t="str">
            <v/>
          </cell>
          <cell r="F302" t="str">
            <v>C8</v>
          </cell>
          <cell r="G302" t="str">
            <v>31HA1/Y</v>
          </cell>
          <cell r="I302" t="str">
            <v/>
          </cell>
          <cell r="K302" t="str">
            <v/>
          </cell>
          <cell r="M302" t="str">
            <v/>
          </cell>
          <cell r="O302" t="str">
            <v/>
          </cell>
          <cell r="Q302" t="str">
            <v/>
          </cell>
          <cell r="R302" t="str">
            <v>LX-PAL.MAD RECO VEM</v>
          </cell>
        </row>
        <row r="303">
          <cell r="B303" t="str">
            <v>A297</v>
          </cell>
          <cell r="C303" t="str">
            <v>00297</v>
          </cell>
          <cell r="E303" t="str">
            <v/>
          </cell>
          <cell r="G303" t="str">
            <v/>
          </cell>
          <cell r="H303" t="str">
            <v>G44</v>
          </cell>
          <cell r="I303" t="str">
            <v>G.BIOAÇORES</v>
          </cell>
          <cell r="K303" t="str">
            <v/>
          </cell>
          <cell r="L303" t="str">
            <v>03</v>
          </cell>
          <cell r="M303" t="str">
            <v>CAV</v>
          </cell>
          <cell r="O303" t="str">
            <v/>
          </cell>
          <cell r="Q303" t="str">
            <v/>
          </cell>
        </row>
        <row r="304">
          <cell r="B304" t="str">
            <v>A298</v>
          </cell>
          <cell r="C304" t="str">
            <v>00298</v>
          </cell>
          <cell r="E304" t="str">
            <v/>
          </cell>
          <cell r="G304" t="str">
            <v/>
          </cell>
          <cell r="I304" t="str">
            <v/>
          </cell>
          <cell r="K304" t="str">
            <v/>
          </cell>
          <cell r="M304" t="str">
            <v/>
          </cell>
          <cell r="O304" t="str">
            <v/>
          </cell>
          <cell r="Q304" t="str">
            <v/>
          </cell>
          <cell r="R304" t="str">
            <v>INSERT F15 e/PTFE/PP</v>
          </cell>
        </row>
        <row r="305">
          <cell r="B305" t="str">
            <v>A299</v>
          </cell>
          <cell r="C305" t="str">
            <v>00299</v>
          </cell>
          <cell r="E305" t="str">
            <v/>
          </cell>
          <cell r="F305" t="str">
            <v>C8</v>
          </cell>
          <cell r="G305" t="str">
            <v>31HA1/Y</v>
          </cell>
          <cell r="I305" t="str">
            <v/>
          </cell>
          <cell r="K305" t="str">
            <v/>
          </cell>
          <cell r="M305" t="str">
            <v/>
          </cell>
          <cell r="O305" t="str">
            <v/>
          </cell>
          <cell r="Q305" t="str">
            <v/>
          </cell>
          <cell r="R305" t="str">
            <v>EX ZONES MX-PAL.MET RECO</v>
          </cell>
        </row>
        <row r="306">
          <cell r="B306" t="str">
            <v>A300</v>
          </cell>
          <cell r="C306" t="str">
            <v>00300</v>
          </cell>
          <cell r="E306" t="str">
            <v/>
          </cell>
          <cell r="G306" t="str">
            <v/>
          </cell>
          <cell r="I306" t="str">
            <v/>
          </cell>
          <cell r="K306" t="str">
            <v/>
          </cell>
          <cell r="M306" t="str">
            <v/>
          </cell>
          <cell r="O306" t="str">
            <v/>
          </cell>
          <cell r="Q306" t="str">
            <v/>
          </cell>
          <cell r="R306" t="str">
            <v>(COMP 330 mm)</v>
          </cell>
        </row>
        <row r="307">
          <cell r="B307" t="str">
            <v>A301</v>
          </cell>
          <cell r="C307" t="str">
            <v>00301</v>
          </cell>
          <cell r="E307" t="str">
            <v/>
          </cell>
          <cell r="F307" t="str">
            <v>C19</v>
          </cell>
          <cell r="G307" t="str">
            <v>1H1/Y1,3</v>
          </cell>
          <cell r="I307" t="str">
            <v/>
          </cell>
          <cell r="J307" t="str">
            <v>SMPT8</v>
          </cell>
          <cell r="K307" t="str">
            <v>S. SRJ DISOL S</v>
          </cell>
          <cell r="M307" t="str">
            <v/>
          </cell>
          <cell r="O307" t="str">
            <v/>
          </cell>
          <cell r="Q307" t="str">
            <v/>
          </cell>
        </row>
        <row r="308">
          <cell r="B308" t="str">
            <v>A302</v>
          </cell>
          <cell r="C308" t="str">
            <v>00302</v>
          </cell>
          <cell r="E308" t="str">
            <v/>
          </cell>
          <cell r="G308" t="str">
            <v/>
          </cell>
          <cell r="I308" t="str">
            <v/>
          </cell>
          <cell r="K308" t="str">
            <v/>
          </cell>
          <cell r="M308" t="str">
            <v/>
          </cell>
          <cell r="N308" t="str">
            <v>54</v>
          </cell>
          <cell r="O308" t="str">
            <v>SELO INDUÇÃO</v>
          </cell>
          <cell r="Q308" t="str">
            <v/>
          </cell>
          <cell r="R308" t="str">
            <v>FLEX BAND</v>
          </cell>
        </row>
        <row r="309">
          <cell r="B309" t="str">
            <v>A303</v>
          </cell>
          <cell r="C309" t="str">
            <v>00303</v>
          </cell>
          <cell r="E309" t="str">
            <v/>
          </cell>
          <cell r="G309" t="str">
            <v/>
          </cell>
          <cell r="I309" t="str">
            <v/>
          </cell>
          <cell r="K309" t="str">
            <v/>
          </cell>
          <cell r="L309" t="str">
            <v>01</v>
          </cell>
          <cell r="M309" t="str">
            <v>P/T</v>
          </cell>
          <cell r="O309" t="str">
            <v/>
          </cell>
          <cell r="Q309" t="str">
            <v/>
          </cell>
          <cell r="R309" t="str">
            <v>RETANGULAR</v>
          </cell>
        </row>
        <row r="310">
          <cell r="B310" t="str">
            <v>A304</v>
          </cell>
          <cell r="C310" t="str">
            <v>00304</v>
          </cell>
          <cell r="E310" t="str">
            <v/>
          </cell>
          <cell r="G310" t="str">
            <v/>
          </cell>
          <cell r="I310" t="str">
            <v/>
          </cell>
          <cell r="K310" t="str">
            <v/>
          </cell>
          <cell r="M310" t="str">
            <v/>
          </cell>
          <cell r="O310" t="str">
            <v/>
          </cell>
          <cell r="Q310" t="str">
            <v/>
          </cell>
          <cell r="R310" t="str">
            <v>Ø77</v>
          </cell>
        </row>
        <row r="311">
          <cell r="B311" t="str">
            <v>A305</v>
          </cell>
          <cell r="C311" t="str">
            <v>00305</v>
          </cell>
          <cell r="E311" t="str">
            <v/>
          </cell>
          <cell r="G311" t="str">
            <v/>
          </cell>
          <cell r="H311" t="str">
            <v>G45</v>
          </cell>
          <cell r="I311" t="str">
            <v>G.ECOLOGIC</v>
          </cell>
          <cell r="K311" t="str">
            <v/>
          </cell>
          <cell r="M311" t="str">
            <v/>
          </cell>
          <cell r="O311" t="str">
            <v/>
          </cell>
          <cell r="Q311" t="str">
            <v/>
          </cell>
        </row>
        <row r="312">
          <cell r="B312" t="str">
            <v>A306</v>
          </cell>
          <cell r="C312" t="str">
            <v>00306</v>
          </cell>
          <cell r="E312" t="str">
            <v/>
          </cell>
          <cell r="G312" t="str">
            <v/>
          </cell>
          <cell r="I312" t="str">
            <v/>
          </cell>
          <cell r="K312" t="str">
            <v/>
          </cell>
          <cell r="M312" t="str">
            <v/>
          </cell>
          <cell r="O312" t="str">
            <v/>
          </cell>
          <cell r="Q312" t="str">
            <v/>
          </cell>
          <cell r="R312" t="str">
            <v>T.DET172</v>
          </cell>
        </row>
        <row r="313">
          <cell r="B313" t="str">
            <v>A307</v>
          </cell>
          <cell r="C313" t="str">
            <v>00307</v>
          </cell>
          <cell r="D313" t="str">
            <v>P7</v>
          </cell>
          <cell r="E313" t="str">
            <v>1400G</v>
          </cell>
          <cell r="F313" t="str">
            <v>C10</v>
          </cell>
          <cell r="G313" t="str">
            <v>3H1/Y1,7</v>
          </cell>
          <cell r="H313" t="str">
            <v>G46</v>
          </cell>
          <cell r="I313" t="str">
            <v>G.TRADECORP</v>
          </cell>
          <cell r="K313" t="str">
            <v/>
          </cell>
          <cell r="M313" t="str">
            <v/>
          </cell>
          <cell r="O313" t="str">
            <v/>
          </cell>
          <cell r="Q313" t="str">
            <v/>
          </cell>
          <cell r="R313" t="str">
            <v>COEX PA</v>
          </cell>
        </row>
        <row r="314">
          <cell r="B314" t="str">
            <v>A308</v>
          </cell>
          <cell r="C314" t="str">
            <v>00308</v>
          </cell>
          <cell r="D314" t="str">
            <v>P25</v>
          </cell>
          <cell r="E314" t="str">
            <v>980G</v>
          </cell>
          <cell r="F314" t="str">
            <v>C2</v>
          </cell>
          <cell r="G314" t="str">
            <v>3H1/Y1,4</v>
          </cell>
          <cell r="I314" t="str">
            <v/>
          </cell>
          <cell r="K314" t="str">
            <v/>
          </cell>
          <cell r="M314" t="str">
            <v/>
          </cell>
          <cell r="N314" t="str">
            <v>05</v>
          </cell>
          <cell r="O314" t="str">
            <v>EMPILHAVEL</v>
          </cell>
          <cell r="Q314" t="str">
            <v/>
          </cell>
        </row>
        <row r="315">
          <cell r="B315" t="str">
            <v>A309</v>
          </cell>
          <cell r="C315" t="str">
            <v>00309</v>
          </cell>
          <cell r="E315" t="str">
            <v/>
          </cell>
          <cell r="G315" t="str">
            <v/>
          </cell>
          <cell r="I315" t="str">
            <v/>
          </cell>
          <cell r="K315" t="str">
            <v/>
          </cell>
          <cell r="M315" t="str">
            <v/>
          </cell>
          <cell r="N315" t="str">
            <v>54</v>
          </cell>
          <cell r="O315" t="str">
            <v>SELO INDUÇÃO</v>
          </cell>
          <cell r="Q315" t="str">
            <v/>
          </cell>
          <cell r="R315" t="str">
            <v>FLEX BAND-AUTO VENTILADA</v>
          </cell>
        </row>
        <row r="316">
          <cell r="B316" t="str">
            <v>A310</v>
          </cell>
          <cell r="C316" t="str">
            <v>00310</v>
          </cell>
          <cell r="E316" t="str">
            <v/>
          </cell>
          <cell r="G316" t="str">
            <v/>
          </cell>
          <cell r="I316" t="str">
            <v/>
          </cell>
          <cell r="K316" t="str">
            <v/>
          </cell>
          <cell r="M316" t="str">
            <v/>
          </cell>
          <cell r="O316" t="str">
            <v/>
          </cell>
          <cell r="Q316" t="str">
            <v/>
          </cell>
          <cell r="R316" t="str">
            <v>DEPOSITO SF 70L (CD CL: 61091)</v>
          </cell>
        </row>
        <row r="317">
          <cell r="B317" t="str">
            <v>A311</v>
          </cell>
          <cell r="C317" t="str">
            <v>00311</v>
          </cell>
          <cell r="E317" t="str">
            <v/>
          </cell>
          <cell r="G317" t="str">
            <v/>
          </cell>
          <cell r="I317" t="str">
            <v/>
          </cell>
          <cell r="K317" t="str">
            <v/>
          </cell>
          <cell r="M317" t="str">
            <v/>
          </cell>
          <cell r="N317" t="str">
            <v>52</v>
          </cell>
          <cell r="O317" t="str">
            <v>COM CINTA METÁLICA</v>
          </cell>
          <cell r="Q317" t="str">
            <v/>
          </cell>
        </row>
        <row r="318">
          <cell r="B318" t="str">
            <v>A312</v>
          </cell>
          <cell r="C318" t="str">
            <v>00312</v>
          </cell>
          <cell r="E318" t="str">
            <v/>
          </cell>
          <cell r="G318" t="str">
            <v/>
          </cell>
          <cell r="I318" t="str">
            <v/>
          </cell>
          <cell r="K318" t="str">
            <v/>
          </cell>
          <cell r="M318" t="str">
            <v/>
          </cell>
          <cell r="N318" t="str">
            <v>54</v>
          </cell>
          <cell r="O318" t="str">
            <v>SELO INDUÇÃO</v>
          </cell>
          <cell r="Q318" t="str">
            <v/>
          </cell>
          <cell r="R318" t="str">
            <v>AUTO-VENTILADA</v>
          </cell>
        </row>
        <row r="319">
          <cell r="B319" t="str">
            <v>A313</v>
          </cell>
          <cell r="C319" t="str">
            <v>00313</v>
          </cell>
          <cell r="E319" t="str">
            <v/>
          </cell>
          <cell r="G319" t="str">
            <v/>
          </cell>
          <cell r="H319" t="str">
            <v>G47</v>
          </cell>
          <cell r="I319" t="str">
            <v>G.AQUA</v>
          </cell>
          <cell r="K319" t="str">
            <v/>
          </cell>
          <cell r="M319" t="str">
            <v/>
          </cell>
          <cell r="O319" t="str">
            <v/>
          </cell>
          <cell r="Q319" t="str">
            <v/>
          </cell>
        </row>
        <row r="320">
          <cell r="B320" t="str">
            <v>A314</v>
          </cell>
          <cell r="C320" t="str">
            <v>00314</v>
          </cell>
          <cell r="E320" t="str">
            <v/>
          </cell>
          <cell r="G320" t="str">
            <v/>
          </cell>
          <cell r="H320" t="str">
            <v>G48</v>
          </cell>
          <cell r="I320" t="str">
            <v>G.HARD.LEVEL</v>
          </cell>
          <cell r="K320" t="str">
            <v/>
          </cell>
          <cell r="M320" t="str">
            <v/>
          </cell>
          <cell r="O320" t="str">
            <v/>
          </cell>
          <cell r="Q320" t="str">
            <v/>
          </cell>
        </row>
        <row r="321">
          <cell r="B321" t="str">
            <v>A315</v>
          </cell>
          <cell r="C321" t="str">
            <v>00315</v>
          </cell>
          <cell r="D321" t="str">
            <v>P26</v>
          </cell>
          <cell r="E321" t="str">
            <v>900G</v>
          </cell>
          <cell r="F321" t="str">
            <v>C10</v>
          </cell>
          <cell r="G321" t="str">
            <v>3H1/Y1,7</v>
          </cell>
          <cell r="I321" t="str">
            <v/>
          </cell>
          <cell r="K321" t="str">
            <v/>
          </cell>
          <cell r="M321" t="str">
            <v/>
          </cell>
          <cell r="O321" t="str">
            <v/>
          </cell>
          <cell r="Q321" t="str">
            <v/>
          </cell>
        </row>
        <row r="322">
          <cell r="B322" t="str">
            <v>A316</v>
          </cell>
          <cell r="C322" t="str">
            <v>00316</v>
          </cell>
          <cell r="E322" t="str">
            <v/>
          </cell>
          <cell r="G322" t="str">
            <v/>
          </cell>
          <cell r="I322" t="str">
            <v/>
          </cell>
          <cell r="K322" t="str">
            <v/>
          </cell>
          <cell r="M322" t="str">
            <v/>
          </cell>
          <cell r="N322" t="str">
            <v>43</v>
          </cell>
          <cell r="O322" t="str">
            <v>INTERIOR</v>
          </cell>
          <cell r="Q322" t="str">
            <v/>
          </cell>
          <cell r="R322" t="str">
            <v>PARA SELO G2-D78</v>
          </cell>
        </row>
        <row r="323">
          <cell r="B323" t="str">
            <v>A317</v>
          </cell>
          <cell r="C323" t="str">
            <v>00317</v>
          </cell>
          <cell r="E323" t="str">
            <v/>
          </cell>
          <cell r="G323" t="str">
            <v/>
          </cell>
          <cell r="I323" t="str">
            <v/>
          </cell>
          <cell r="K323" t="str">
            <v/>
          </cell>
          <cell r="M323" t="str">
            <v/>
          </cell>
          <cell r="O323" t="str">
            <v/>
          </cell>
          <cell r="Q323" t="str">
            <v/>
          </cell>
          <cell r="R323" t="str">
            <v>DOSEADOR 2ml 28/410mm</v>
          </cell>
        </row>
        <row r="324">
          <cell r="B324" t="str">
            <v>A318</v>
          </cell>
          <cell r="C324" t="str">
            <v>00318</v>
          </cell>
          <cell r="D324" t="str">
            <v>P26</v>
          </cell>
          <cell r="E324" t="str">
            <v>900G</v>
          </cell>
          <cell r="F324" t="str">
            <v>C4</v>
          </cell>
          <cell r="G324" t="str">
            <v>3H1/Y1,9</v>
          </cell>
          <cell r="I324" t="str">
            <v/>
          </cell>
          <cell r="K324" t="str">
            <v/>
          </cell>
          <cell r="L324" t="str">
            <v>07</v>
          </cell>
          <cell r="M324" t="str">
            <v>C/ VISOR</v>
          </cell>
          <cell r="O324" t="str">
            <v/>
          </cell>
          <cell r="Q324" t="str">
            <v/>
          </cell>
        </row>
        <row r="325">
          <cell r="B325" t="str">
            <v>A319</v>
          </cell>
          <cell r="C325" t="str">
            <v>00319</v>
          </cell>
          <cell r="E325" t="str">
            <v/>
          </cell>
          <cell r="G325" t="str">
            <v/>
          </cell>
          <cell r="I325" t="str">
            <v/>
          </cell>
          <cell r="K325" t="str">
            <v/>
          </cell>
          <cell r="M325" t="str">
            <v/>
          </cell>
          <cell r="O325" t="str">
            <v/>
          </cell>
          <cell r="Q325" t="str">
            <v/>
          </cell>
          <cell r="R325" t="str">
            <v>DOSEADOR 4ml TUBO 290mm</v>
          </cell>
        </row>
        <row r="326">
          <cell r="B326" t="str">
            <v>A320</v>
          </cell>
          <cell r="C326" t="str">
            <v>00320</v>
          </cell>
          <cell r="D326" t="str">
            <v>P27</v>
          </cell>
          <cell r="E326" t="str">
            <v>8,3KG</v>
          </cell>
          <cell r="G326" t="str">
            <v/>
          </cell>
          <cell r="I326" t="str">
            <v/>
          </cell>
          <cell r="K326" t="str">
            <v/>
          </cell>
          <cell r="L326" t="str">
            <v>05</v>
          </cell>
          <cell r="M326" t="str">
            <v>P/T CAV</v>
          </cell>
          <cell r="O326" t="str">
            <v/>
          </cell>
          <cell r="Q326" t="str">
            <v/>
          </cell>
        </row>
        <row r="327">
          <cell r="B327" t="str">
            <v>A321</v>
          </cell>
          <cell r="C327" t="str">
            <v>00321</v>
          </cell>
          <cell r="E327" t="str">
            <v/>
          </cell>
          <cell r="F327" t="str">
            <v>C19</v>
          </cell>
          <cell r="G327" t="str">
            <v>1H1/Y1,3</v>
          </cell>
          <cell r="I327" t="str">
            <v/>
          </cell>
          <cell r="K327" t="str">
            <v/>
          </cell>
          <cell r="M327" t="str">
            <v/>
          </cell>
          <cell r="O327" t="str">
            <v/>
          </cell>
          <cell r="Q327" t="str">
            <v/>
          </cell>
          <cell r="R327" t="str">
            <v>COEX PA STD</v>
          </cell>
        </row>
        <row r="328">
          <cell r="B328" t="str">
            <v>A322</v>
          </cell>
          <cell r="C328" t="str">
            <v>00322</v>
          </cell>
          <cell r="E328" t="str">
            <v/>
          </cell>
          <cell r="G328" t="str">
            <v/>
          </cell>
          <cell r="H328" t="str">
            <v>G17</v>
          </cell>
          <cell r="I328" t="str">
            <v>G.PROIN</v>
          </cell>
          <cell r="K328" t="str">
            <v/>
          </cell>
          <cell r="M328" t="str">
            <v/>
          </cell>
          <cell r="N328" t="str">
            <v>07</v>
          </cell>
          <cell r="O328" t="str">
            <v>COM CHAPA</v>
          </cell>
          <cell r="Q328" t="str">
            <v/>
          </cell>
          <cell r="R328" t="str">
            <v>REFLETOR+KIT PARAFUSOS</v>
          </cell>
        </row>
        <row r="329">
          <cell r="B329" t="str">
            <v>A323</v>
          </cell>
          <cell r="C329" t="str">
            <v>00323</v>
          </cell>
          <cell r="D329" t="str">
            <v>P24</v>
          </cell>
          <cell r="E329" t="str">
            <v>950G</v>
          </cell>
          <cell r="F329" t="str">
            <v>C10</v>
          </cell>
          <cell r="G329" t="str">
            <v>3H1/Y1,7</v>
          </cell>
          <cell r="I329" t="str">
            <v/>
          </cell>
          <cell r="K329" t="str">
            <v/>
          </cell>
          <cell r="L329" t="str">
            <v>07</v>
          </cell>
          <cell r="M329" t="str">
            <v>C/ VISOR</v>
          </cell>
          <cell r="O329" t="str">
            <v/>
          </cell>
          <cell r="Q329" t="str">
            <v/>
          </cell>
        </row>
        <row r="330">
          <cell r="B330" t="str">
            <v>A324</v>
          </cell>
          <cell r="C330" t="str">
            <v>00324</v>
          </cell>
          <cell r="D330" t="str">
            <v>P28</v>
          </cell>
          <cell r="E330" t="str">
            <v>9,3KG</v>
          </cell>
          <cell r="G330" t="str">
            <v/>
          </cell>
          <cell r="I330" t="str">
            <v/>
          </cell>
          <cell r="K330" t="str">
            <v/>
          </cell>
          <cell r="L330" t="str">
            <v>05</v>
          </cell>
          <cell r="M330" t="str">
            <v>P/T CAV</v>
          </cell>
          <cell r="O330" t="str">
            <v/>
          </cell>
          <cell r="Q330" t="str">
            <v/>
          </cell>
        </row>
        <row r="331">
          <cell r="B331" t="str">
            <v>A325</v>
          </cell>
          <cell r="C331" t="str">
            <v>00325</v>
          </cell>
          <cell r="D331" t="str">
            <v>P2</v>
          </cell>
          <cell r="E331" t="str">
            <v>1100G</v>
          </cell>
          <cell r="F331" t="str">
            <v>C10</v>
          </cell>
          <cell r="G331" t="str">
            <v>3H1/Y1,7</v>
          </cell>
          <cell r="I331" t="str">
            <v/>
          </cell>
          <cell r="K331" t="str">
            <v/>
          </cell>
          <cell r="M331" t="str">
            <v/>
          </cell>
          <cell r="O331" t="str">
            <v/>
          </cell>
          <cell r="Q331" t="str">
            <v/>
          </cell>
          <cell r="R331" t="str">
            <v>COEX PA</v>
          </cell>
        </row>
        <row r="332">
          <cell r="B332" t="str">
            <v>A326</v>
          </cell>
          <cell r="C332" t="str">
            <v>00326</v>
          </cell>
          <cell r="E332" t="str">
            <v/>
          </cell>
          <cell r="G332" t="str">
            <v/>
          </cell>
          <cell r="H332" t="str">
            <v>G49</v>
          </cell>
          <cell r="I332" t="str">
            <v>G. BLUEPHARMA</v>
          </cell>
          <cell r="K332" t="str">
            <v/>
          </cell>
          <cell r="L332" t="str">
            <v>02</v>
          </cell>
          <cell r="M332" t="str">
            <v>ASA</v>
          </cell>
          <cell r="O332" t="str">
            <v/>
          </cell>
          <cell r="Q332" t="str">
            <v/>
          </cell>
        </row>
        <row r="333">
          <cell r="B333" t="str">
            <v>A327</v>
          </cell>
          <cell r="C333" t="str">
            <v>00327</v>
          </cell>
          <cell r="E333" t="str">
            <v/>
          </cell>
          <cell r="G333" t="str">
            <v/>
          </cell>
          <cell r="I333" t="str">
            <v/>
          </cell>
          <cell r="K333" t="str">
            <v/>
          </cell>
          <cell r="M333" t="str">
            <v/>
          </cell>
          <cell r="O333" t="str">
            <v/>
          </cell>
          <cell r="Q333" t="str">
            <v/>
          </cell>
        </row>
        <row r="334">
          <cell r="B334" t="str">
            <v>A328</v>
          </cell>
          <cell r="C334" t="str">
            <v>00328</v>
          </cell>
          <cell r="E334" t="str">
            <v/>
          </cell>
          <cell r="G334" t="str">
            <v/>
          </cell>
          <cell r="I334" t="str">
            <v/>
          </cell>
          <cell r="K334" t="str">
            <v/>
          </cell>
          <cell r="M334" t="str">
            <v/>
          </cell>
          <cell r="O334" t="str">
            <v/>
          </cell>
          <cell r="Q334" t="str">
            <v/>
          </cell>
          <cell r="R334" t="str">
            <v>LX-PAL.MAD RECO</v>
          </cell>
        </row>
        <row r="335">
          <cell r="B335" t="str">
            <v>A329</v>
          </cell>
          <cell r="C335" t="str">
            <v>00329</v>
          </cell>
          <cell r="E335" t="str">
            <v/>
          </cell>
          <cell r="G335" t="str">
            <v/>
          </cell>
          <cell r="I335" t="str">
            <v/>
          </cell>
          <cell r="K335" t="str">
            <v/>
          </cell>
          <cell r="M335" t="str">
            <v/>
          </cell>
          <cell r="O335" t="str">
            <v/>
          </cell>
          <cell r="Q335" t="str">
            <v/>
          </cell>
          <cell r="R335" t="str">
            <v>FSSC MX-PAL. MET</v>
          </cell>
        </row>
        <row r="336">
          <cell r="B336" t="str">
            <v>A330</v>
          </cell>
          <cell r="C336" t="str">
            <v>00330</v>
          </cell>
          <cell r="D336" t="str">
            <v>P9</v>
          </cell>
          <cell r="E336" t="str">
            <v>150G</v>
          </cell>
          <cell r="G336" t="str">
            <v/>
          </cell>
          <cell r="I336" t="str">
            <v/>
          </cell>
          <cell r="K336" t="str">
            <v/>
          </cell>
          <cell r="M336" t="str">
            <v/>
          </cell>
          <cell r="O336" t="str">
            <v/>
          </cell>
          <cell r="Q336" t="str">
            <v/>
          </cell>
        </row>
        <row r="337">
          <cell r="B337" t="str">
            <v>A331</v>
          </cell>
          <cell r="C337" t="str">
            <v>00331</v>
          </cell>
          <cell r="D337" t="str">
            <v>P2</v>
          </cell>
          <cell r="E337" t="str">
            <v>1100G</v>
          </cell>
          <cell r="F337" t="str">
            <v>C10</v>
          </cell>
          <cell r="G337" t="str">
            <v>3H1/Y1,7</v>
          </cell>
          <cell r="I337" t="str">
            <v/>
          </cell>
          <cell r="K337" t="str">
            <v/>
          </cell>
          <cell r="L337" t="str">
            <v>07</v>
          </cell>
          <cell r="M337" t="str">
            <v>C/ VISOR</v>
          </cell>
          <cell r="O337" t="str">
            <v/>
          </cell>
          <cell r="Q337" t="str">
            <v/>
          </cell>
        </row>
        <row r="338">
          <cell r="B338" t="str">
            <v>A332</v>
          </cell>
          <cell r="C338" t="str">
            <v>00332</v>
          </cell>
          <cell r="E338" t="str">
            <v/>
          </cell>
          <cell r="F338" t="str">
            <v>C8</v>
          </cell>
          <cell r="G338" t="str">
            <v>31HA1/Y</v>
          </cell>
          <cell r="I338" t="str">
            <v/>
          </cell>
          <cell r="K338" t="str">
            <v/>
          </cell>
          <cell r="M338" t="str">
            <v/>
          </cell>
          <cell r="O338" t="str">
            <v/>
          </cell>
          <cell r="Q338" t="str">
            <v/>
          </cell>
          <cell r="R338" t="str">
            <v>EX ZONES MX-PAL.MET DN80/3""</v>
          </cell>
        </row>
        <row r="339">
          <cell r="B339" t="str">
            <v>A333</v>
          </cell>
          <cell r="C339" t="str">
            <v>00333</v>
          </cell>
          <cell r="D339" t="str">
            <v>P18</v>
          </cell>
          <cell r="E339" t="str">
            <v>500G</v>
          </cell>
          <cell r="F339" t="str">
            <v>C1</v>
          </cell>
          <cell r="G339" t="str">
            <v>3H1/Y1,2</v>
          </cell>
          <cell r="I339" t="str">
            <v/>
          </cell>
          <cell r="K339" t="str">
            <v/>
          </cell>
          <cell r="M339" t="str">
            <v/>
          </cell>
          <cell r="O339" t="str">
            <v/>
          </cell>
          <cell r="Q339" t="str">
            <v/>
          </cell>
        </row>
        <row r="340">
          <cell r="B340" t="str">
            <v>A334</v>
          </cell>
          <cell r="C340" t="str">
            <v>00334</v>
          </cell>
          <cell r="E340" t="str">
            <v/>
          </cell>
          <cell r="F340" t="str">
            <v>C2</v>
          </cell>
          <cell r="G340" t="str">
            <v>3H1/Y1,4</v>
          </cell>
          <cell r="I340" t="str">
            <v/>
          </cell>
          <cell r="K340" t="str">
            <v/>
          </cell>
          <cell r="M340" t="str">
            <v/>
          </cell>
          <cell r="O340" t="str">
            <v/>
          </cell>
          <cell r="Q340" t="str">
            <v/>
          </cell>
          <cell r="R340" t="str">
            <v>1/2 PAL</v>
          </cell>
        </row>
        <row r="341">
          <cell r="B341" t="str">
            <v>A335</v>
          </cell>
          <cell r="C341" t="str">
            <v>00335</v>
          </cell>
          <cell r="E341" t="str">
            <v/>
          </cell>
          <cell r="G341" t="str">
            <v/>
          </cell>
          <cell r="I341" t="str">
            <v/>
          </cell>
          <cell r="K341" t="str">
            <v/>
          </cell>
          <cell r="M341" t="str">
            <v/>
          </cell>
          <cell r="O341" t="str">
            <v/>
          </cell>
          <cell r="Q341" t="str">
            <v/>
          </cell>
          <cell r="R341" t="str">
            <v>BOCA Ø40</v>
          </cell>
        </row>
        <row r="342">
          <cell r="B342" t="str">
            <v>A336</v>
          </cell>
          <cell r="C342" t="str">
            <v>00336</v>
          </cell>
          <cell r="E342" t="str">
            <v/>
          </cell>
          <cell r="F342" t="str">
            <v>C8</v>
          </cell>
          <cell r="G342" t="str">
            <v>31HA1/Y</v>
          </cell>
          <cell r="I342" t="str">
            <v/>
          </cell>
          <cell r="K342" t="str">
            <v/>
          </cell>
          <cell r="M342" t="str">
            <v/>
          </cell>
          <cell r="O342" t="str">
            <v/>
          </cell>
          <cell r="Q342" t="str">
            <v/>
          </cell>
          <cell r="R342" t="str">
            <v>EXZONES MX-PAL.MET</v>
          </cell>
        </row>
        <row r="343">
          <cell r="B343" t="str">
            <v>A337</v>
          </cell>
          <cell r="C343" t="str">
            <v>00337</v>
          </cell>
          <cell r="E343" t="str">
            <v/>
          </cell>
          <cell r="G343" t="str">
            <v/>
          </cell>
          <cell r="H343" t="str">
            <v>G17</v>
          </cell>
          <cell r="I343" t="str">
            <v>G.PROIN</v>
          </cell>
          <cell r="K343" t="str">
            <v/>
          </cell>
          <cell r="M343" t="str">
            <v/>
          </cell>
          <cell r="O343" t="str">
            <v/>
          </cell>
          <cell r="Q343" t="str">
            <v/>
          </cell>
          <cell r="R343" t="str">
            <v>ENCAIXE 0489</v>
          </cell>
        </row>
        <row r="344">
          <cell r="B344" t="str">
            <v>A338</v>
          </cell>
          <cell r="C344" t="str">
            <v>00338</v>
          </cell>
          <cell r="E344" t="str">
            <v/>
          </cell>
          <cell r="F344" t="str">
            <v>C8</v>
          </cell>
          <cell r="G344" t="str">
            <v>31HA1/Y</v>
          </cell>
          <cell r="I344" t="str">
            <v/>
          </cell>
          <cell r="K344" t="str">
            <v/>
          </cell>
          <cell r="M344" t="str">
            <v/>
          </cell>
          <cell r="O344" t="str">
            <v/>
          </cell>
          <cell r="Q344" t="str">
            <v/>
          </cell>
          <cell r="R344" t="str">
            <v>FDA-FSSC MX-PAL. P</v>
          </cell>
        </row>
        <row r="345">
          <cell r="B345" t="str">
            <v>A339</v>
          </cell>
          <cell r="C345" t="str">
            <v>00339</v>
          </cell>
          <cell r="E345" t="str">
            <v/>
          </cell>
          <cell r="G345" t="str">
            <v/>
          </cell>
          <cell r="I345" t="str">
            <v/>
          </cell>
          <cell r="K345" t="str">
            <v/>
          </cell>
          <cell r="M345" t="str">
            <v/>
          </cell>
          <cell r="O345" t="str">
            <v/>
          </cell>
          <cell r="Q345" t="str">
            <v/>
          </cell>
          <cell r="R345" t="str">
            <v>Ø60</v>
          </cell>
        </row>
        <row r="346">
          <cell r="B346" t="str">
            <v>A340</v>
          </cell>
          <cell r="C346" t="str">
            <v>00340</v>
          </cell>
          <cell r="E346" t="str">
            <v/>
          </cell>
          <cell r="G346" t="str">
            <v/>
          </cell>
          <cell r="I346" t="str">
            <v/>
          </cell>
          <cell r="K346" t="str">
            <v/>
          </cell>
          <cell r="M346" t="str">
            <v/>
          </cell>
          <cell r="O346" t="str">
            <v/>
          </cell>
          <cell r="Q346" t="str">
            <v/>
          </cell>
          <cell r="R346" t="str">
            <v>Ø63</v>
          </cell>
        </row>
        <row r="347">
          <cell r="B347" t="str">
            <v>A341</v>
          </cell>
          <cell r="C347" t="str">
            <v>00341</v>
          </cell>
          <cell r="E347" t="str">
            <v/>
          </cell>
          <cell r="F347" t="str">
            <v>C21</v>
          </cell>
          <cell r="G347" t="str">
            <v>3H2/Y100</v>
          </cell>
          <cell r="I347" t="str">
            <v/>
          </cell>
          <cell r="K347" t="str">
            <v/>
          </cell>
          <cell r="M347" t="str">
            <v/>
          </cell>
          <cell r="O347" t="str">
            <v/>
          </cell>
          <cell r="Q347" t="str">
            <v/>
          </cell>
        </row>
        <row r="348">
          <cell r="B348" t="str">
            <v>A342</v>
          </cell>
          <cell r="C348" t="str">
            <v>00342</v>
          </cell>
          <cell r="D348" t="str">
            <v>P9</v>
          </cell>
          <cell r="E348" t="str">
            <v>150G</v>
          </cell>
          <cell r="G348" t="str">
            <v/>
          </cell>
          <cell r="I348" t="str">
            <v/>
          </cell>
          <cell r="K348" t="str">
            <v/>
          </cell>
          <cell r="M348" t="str">
            <v/>
          </cell>
          <cell r="O348" t="str">
            <v/>
          </cell>
          <cell r="Q348" t="str">
            <v/>
          </cell>
          <cell r="R348" t="str">
            <v>Ø38/23</v>
          </cell>
        </row>
        <row r="349">
          <cell r="B349" t="str">
            <v>A343</v>
          </cell>
          <cell r="C349" t="str">
            <v>00343</v>
          </cell>
          <cell r="D349" t="str">
            <v>P15</v>
          </cell>
          <cell r="E349" t="str">
            <v>360G</v>
          </cell>
          <cell r="G349" t="str">
            <v/>
          </cell>
          <cell r="I349" t="str">
            <v/>
          </cell>
          <cell r="K349" t="str">
            <v/>
          </cell>
          <cell r="M349" t="str">
            <v/>
          </cell>
          <cell r="O349" t="str">
            <v/>
          </cell>
          <cell r="Q349" t="str">
            <v/>
          </cell>
        </row>
        <row r="350">
          <cell r="B350" t="str">
            <v>A344</v>
          </cell>
          <cell r="C350" t="str">
            <v>00344</v>
          </cell>
          <cell r="E350" t="str">
            <v/>
          </cell>
          <cell r="F350" t="str">
            <v>C22</v>
          </cell>
          <cell r="G350" t="str">
            <v>1H2/X268/S</v>
          </cell>
          <cell r="I350" t="str">
            <v/>
          </cell>
          <cell r="K350" t="str">
            <v/>
          </cell>
          <cell r="L350" t="str">
            <v>05</v>
          </cell>
          <cell r="M350" t="str">
            <v>P/T CAV</v>
          </cell>
          <cell r="O350" t="str">
            <v/>
          </cell>
          <cell r="Q350" t="str">
            <v/>
          </cell>
        </row>
        <row r="351">
          <cell r="B351" t="str">
            <v>A345</v>
          </cell>
          <cell r="C351" t="str">
            <v>00345</v>
          </cell>
          <cell r="E351" t="str">
            <v/>
          </cell>
          <cell r="F351" t="str">
            <v>C8</v>
          </cell>
          <cell r="G351" t="str">
            <v>31HA1/Y</v>
          </cell>
          <cell r="I351" t="str">
            <v/>
          </cell>
          <cell r="K351" t="str">
            <v/>
          </cell>
          <cell r="M351" t="str">
            <v/>
          </cell>
          <cell r="O351" t="str">
            <v/>
          </cell>
          <cell r="Q351" t="str">
            <v/>
          </cell>
          <cell r="R351" t="str">
            <v>EXZONES RMX-PAL.MET RECO</v>
          </cell>
        </row>
        <row r="352">
          <cell r="B352" t="str">
            <v>A346</v>
          </cell>
          <cell r="C352" t="str">
            <v>00346</v>
          </cell>
          <cell r="E352" t="str">
            <v/>
          </cell>
          <cell r="F352" t="str">
            <v>C3</v>
          </cell>
          <cell r="G352" t="str">
            <v>3H1/Y1,6</v>
          </cell>
          <cell r="H352" t="str">
            <v>GMPT1</v>
          </cell>
          <cell r="I352" t="str">
            <v>G. QUILOSA</v>
          </cell>
          <cell r="K352" t="str">
            <v/>
          </cell>
          <cell r="M352" t="str">
            <v/>
          </cell>
          <cell r="O352" t="str">
            <v/>
          </cell>
          <cell r="Q352" t="str">
            <v/>
          </cell>
          <cell r="R352" t="str">
            <v>BOCA Ø50</v>
          </cell>
        </row>
        <row r="353">
          <cell r="B353" t="str">
            <v>A347</v>
          </cell>
          <cell r="C353" t="str">
            <v>00347</v>
          </cell>
          <cell r="E353" t="str">
            <v/>
          </cell>
          <cell r="F353" t="str">
            <v>C3</v>
          </cell>
          <cell r="G353" t="str">
            <v>3H1/Y1,6</v>
          </cell>
          <cell r="I353" t="str">
            <v/>
          </cell>
          <cell r="J353" t="str">
            <v>SMPT5</v>
          </cell>
          <cell r="K353" t="str">
            <v>S. SAMT</v>
          </cell>
          <cell r="M353" t="str">
            <v/>
          </cell>
          <cell r="O353" t="str">
            <v/>
          </cell>
          <cell r="Q353" t="str">
            <v/>
          </cell>
          <cell r="R353" t="str">
            <v>BOCA Ø50</v>
          </cell>
        </row>
        <row r="354">
          <cell r="B354" t="str">
            <v>A348</v>
          </cell>
          <cell r="C354" t="str">
            <v>00348</v>
          </cell>
          <cell r="E354" t="str">
            <v/>
          </cell>
          <cell r="G354" t="str">
            <v/>
          </cell>
          <cell r="I354" t="str">
            <v/>
          </cell>
          <cell r="K354" t="str">
            <v/>
          </cell>
          <cell r="M354" t="str">
            <v/>
          </cell>
          <cell r="O354" t="str">
            <v/>
          </cell>
          <cell r="Q354" t="str">
            <v/>
          </cell>
          <cell r="R354" t="str">
            <v>C\  SPOUT AZUL</v>
          </cell>
        </row>
        <row r="355">
          <cell r="B355" t="str">
            <v>A349</v>
          </cell>
          <cell r="C355" t="str">
            <v>00349</v>
          </cell>
          <cell r="D355" t="str">
            <v>P15</v>
          </cell>
          <cell r="E355" t="str">
            <v>360G</v>
          </cell>
          <cell r="G355" t="str">
            <v/>
          </cell>
          <cell r="I355" t="str">
            <v/>
          </cell>
          <cell r="K355" t="str">
            <v/>
          </cell>
          <cell r="M355" t="str">
            <v/>
          </cell>
          <cell r="O355" t="str">
            <v/>
          </cell>
          <cell r="Q355" t="str">
            <v/>
          </cell>
          <cell r="R355" t="str">
            <v>BOCA Ø45</v>
          </cell>
        </row>
        <row r="356">
          <cell r="B356" t="str">
            <v>A349</v>
          </cell>
          <cell r="C356" t="str">
            <v>00440</v>
          </cell>
          <cell r="E356" t="str">
            <v/>
          </cell>
          <cell r="G356" t="str">
            <v/>
          </cell>
          <cell r="I356" t="str">
            <v/>
          </cell>
          <cell r="K356" t="str">
            <v/>
          </cell>
          <cell r="M356" t="str">
            <v/>
          </cell>
          <cell r="O356" t="str">
            <v/>
          </cell>
          <cell r="Q356" t="str">
            <v/>
          </cell>
          <cell r="R356" t="str">
            <v>TAMPA TPØ200</v>
          </cell>
        </row>
        <row r="357">
          <cell r="B357" t="str">
            <v>A350</v>
          </cell>
          <cell r="C357" t="str">
            <v>00350</v>
          </cell>
          <cell r="E357" t="str">
            <v/>
          </cell>
          <cell r="F357" t="str">
            <v>C23</v>
          </cell>
          <cell r="G357" t="str">
            <v>1H2/X225/S</v>
          </cell>
          <cell r="I357" t="str">
            <v/>
          </cell>
          <cell r="K357" t="str">
            <v/>
          </cell>
          <cell r="L357" t="str">
            <v>05</v>
          </cell>
          <cell r="M357" t="str">
            <v>P/T CAV</v>
          </cell>
          <cell r="O357" t="str">
            <v/>
          </cell>
          <cell r="Q357" t="str">
            <v/>
          </cell>
        </row>
        <row r="358">
          <cell r="B358" t="str">
            <v>A351</v>
          </cell>
          <cell r="C358" t="str">
            <v>00351</v>
          </cell>
          <cell r="D358" t="str">
            <v>P29</v>
          </cell>
          <cell r="E358" t="str">
            <v>2,7KG</v>
          </cell>
          <cell r="G358" t="str">
            <v/>
          </cell>
          <cell r="H358" t="str">
            <v>G22</v>
          </cell>
          <cell r="I358" t="str">
            <v>G.BIOLOGICAL</v>
          </cell>
          <cell r="K358" t="str">
            <v/>
          </cell>
          <cell r="L358" t="str">
            <v>02</v>
          </cell>
          <cell r="M358" t="str">
            <v>ASA</v>
          </cell>
          <cell r="O358" t="str">
            <v/>
          </cell>
          <cell r="Q358" t="str">
            <v/>
          </cell>
        </row>
        <row r="359">
          <cell r="B359" t="str">
            <v>A352</v>
          </cell>
          <cell r="C359" t="str">
            <v>00352</v>
          </cell>
          <cell r="E359" t="str">
            <v/>
          </cell>
          <cell r="G359" t="str">
            <v/>
          </cell>
          <cell r="I359" t="str">
            <v/>
          </cell>
          <cell r="K359" t="str">
            <v/>
          </cell>
          <cell r="M359" t="str">
            <v/>
          </cell>
          <cell r="O359" t="str">
            <v/>
          </cell>
          <cell r="Q359" t="str">
            <v/>
          </cell>
          <cell r="R359" t="str">
            <v>PUSH-LOCK CAP G2</v>
          </cell>
        </row>
        <row r="360">
          <cell r="B360" t="str">
            <v>A353</v>
          </cell>
          <cell r="C360" t="str">
            <v>00353</v>
          </cell>
          <cell r="E360" t="str">
            <v/>
          </cell>
          <cell r="G360" t="str">
            <v/>
          </cell>
          <cell r="H360" t="str">
            <v>G17</v>
          </cell>
          <cell r="I360" t="str">
            <v>G.PROIN</v>
          </cell>
          <cell r="K360" t="str">
            <v/>
          </cell>
          <cell r="M360" t="str">
            <v/>
          </cell>
          <cell r="O360" t="str">
            <v/>
          </cell>
          <cell r="Q360" t="str">
            <v/>
          </cell>
          <cell r="R360" t="str">
            <v>REFLETOR</v>
          </cell>
        </row>
        <row r="361">
          <cell r="B361" t="str">
            <v>A354</v>
          </cell>
          <cell r="C361" t="str">
            <v>00354</v>
          </cell>
          <cell r="E361" t="str">
            <v/>
          </cell>
          <cell r="F361" t="str">
            <v>C10</v>
          </cell>
          <cell r="G361" t="str">
            <v>3H1/Y1,7</v>
          </cell>
          <cell r="I361" t="str">
            <v/>
          </cell>
          <cell r="K361" t="str">
            <v/>
          </cell>
          <cell r="M361" t="str">
            <v/>
          </cell>
          <cell r="O361" t="str">
            <v/>
          </cell>
          <cell r="Q361" t="str">
            <v/>
          </cell>
          <cell r="R361" t="str">
            <v>BOCA Ø45</v>
          </cell>
        </row>
        <row r="362">
          <cell r="B362" t="str">
            <v>A355</v>
          </cell>
          <cell r="C362" t="str">
            <v>00355</v>
          </cell>
          <cell r="E362" t="str">
            <v/>
          </cell>
          <cell r="G362" t="str">
            <v/>
          </cell>
          <cell r="I362" t="str">
            <v/>
          </cell>
          <cell r="K362" t="str">
            <v/>
          </cell>
          <cell r="M362" t="str">
            <v/>
          </cell>
          <cell r="O362" t="str">
            <v/>
          </cell>
          <cell r="Q362" t="str">
            <v/>
          </cell>
          <cell r="R362" t="str">
            <v>COM PARAFUSO</v>
          </cell>
        </row>
        <row r="363">
          <cell r="B363" t="str">
            <v>A356</v>
          </cell>
          <cell r="C363" t="str">
            <v>00356</v>
          </cell>
          <cell r="E363" t="str">
            <v/>
          </cell>
          <cell r="G363" t="str">
            <v/>
          </cell>
          <cell r="I363" t="str">
            <v/>
          </cell>
          <cell r="K363" t="str">
            <v/>
          </cell>
          <cell r="M363" t="str">
            <v/>
          </cell>
          <cell r="N363" t="str">
            <v>58</v>
          </cell>
          <cell r="O363" t="str">
            <v>ENCAIXE 089</v>
          </cell>
          <cell r="Q363" t="str">
            <v/>
          </cell>
        </row>
        <row r="364">
          <cell r="B364" t="str">
            <v>A357</v>
          </cell>
          <cell r="C364" t="str">
            <v>00357</v>
          </cell>
          <cell r="E364" t="str">
            <v/>
          </cell>
          <cell r="F364" t="str">
            <v>C24</v>
          </cell>
          <cell r="G364" t="str">
            <v>1H2/X114/S</v>
          </cell>
          <cell r="I364" t="str">
            <v/>
          </cell>
          <cell r="K364" t="str">
            <v/>
          </cell>
          <cell r="L364" t="str">
            <v>02</v>
          </cell>
          <cell r="M364" t="str">
            <v>ASA</v>
          </cell>
          <cell r="O364" t="str">
            <v/>
          </cell>
          <cell r="Q364" t="str">
            <v/>
          </cell>
        </row>
        <row r="365">
          <cell r="B365" t="str">
            <v>A358</v>
          </cell>
          <cell r="C365" t="str">
            <v>00358</v>
          </cell>
          <cell r="E365" t="str">
            <v/>
          </cell>
          <cell r="G365" t="str">
            <v/>
          </cell>
          <cell r="I365" t="str">
            <v/>
          </cell>
          <cell r="K365" t="str">
            <v/>
          </cell>
          <cell r="M365" t="str">
            <v/>
          </cell>
          <cell r="O365" t="str">
            <v/>
          </cell>
          <cell r="Q365" t="str">
            <v/>
          </cell>
          <cell r="R365" t="str">
            <v>P\ TAMPA PUSH PULL</v>
          </cell>
        </row>
        <row r="366">
          <cell r="B366" t="str">
            <v>A359</v>
          </cell>
          <cell r="C366" t="str">
            <v>00359</v>
          </cell>
          <cell r="E366" t="str">
            <v/>
          </cell>
          <cell r="G366" t="str">
            <v/>
          </cell>
          <cell r="I366" t="str">
            <v/>
          </cell>
          <cell r="K366" t="str">
            <v/>
          </cell>
          <cell r="M366" t="str">
            <v/>
          </cell>
          <cell r="N366" t="str">
            <v>11</v>
          </cell>
          <cell r="O366" t="str">
            <v>AUTO-VENTILADA</v>
          </cell>
          <cell r="Q366" t="str">
            <v/>
          </cell>
          <cell r="R366" t="str">
            <v>INSERT D17</v>
          </cell>
        </row>
        <row r="367">
          <cell r="B367" t="str">
            <v>A360</v>
          </cell>
          <cell r="C367" t="str">
            <v>00360</v>
          </cell>
          <cell r="E367" t="str">
            <v/>
          </cell>
          <cell r="G367" t="str">
            <v/>
          </cell>
          <cell r="I367" t="str">
            <v/>
          </cell>
          <cell r="K367" t="str">
            <v/>
          </cell>
          <cell r="M367" t="str">
            <v/>
          </cell>
          <cell r="O367" t="str">
            <v/>
          </cell>
          <cell r="Q367" t="str">
            <v/>
          </cell>
          <cell r="R367" t="str">
            <v>TRANSLUCIDO</v>
          </cell>
        </row>
        <row r="368">
          <cell r="B368" t="str">
            <v>A361</v>
          </cell>
          <cell r="C368" t="str">
            <v>00361</v>
          </cell>
          <cell r="D368" t="str">
            <v>P2</v>
          </cell>
          <cell r="E368" t="str">
            <v>1100G</v>
          </cell>
          <cell r="F368" t="str">
            <v>C4</v>
          </cell>
          <cell r="G368" t="str">
            <v>3H1/Y1,9</v>
          </cell>
          <cell r="I368" t="str">
            <v/>
          </cell>
          <cell r="K368" t="str">
            <v/>
          </cell>
          <cell r="M368" t="str">
            <v/>
          </cell>
          <cell r="O368" t="str">
            <v/>
          </cell>
          <cell r="Q368" t="str">
            <v/>
          </cell>
        </row>
        <row r="369">
          <cell r="B369" t="str">
            <v>A362</v>
          </cell>
          <cell r="C369" t="str">
            <v>00362</v>
          </cell>
          <cell r="D369" t="str">
            <v>P26</v>
          </cell>
          <cell r="E369" t="str">
            <v>900G</v>
          </cell>
          <cell r="F369" t="str">
            <v>C4</v>
          </cell>
          <cell r="G369" t="str">
            <v>3H1/Y1,9</v>
          </cell>
          <cell r="I369" t="str">
            <v/>
          </cell>
          <cell r="K369" t="str">
            <v/>
          </cell>
          <cell r="M369" t="str">
            <v/>
          </cell>
          <cell r="O369" t="str">
            <v/>
          </cell>
          <cell r="Q369" t="str">
            <v/>
          </cell>
        </row>
        <row r="370">
          <cell r="B370" t="str">
            <v>A363</v>
          </cell>
          <cell r="C370" t="str">
            <v>00363</v>
          </cell>
          <cell r="E370" t="str">
            <v/>
          </cell>
          <cell r="G370" t="str">
            <v/>
          </cell>
          <cell r="I370" t="str">
            <v/>
          </cell>
          <cell r="K370" t="str">
            <v/>
          </cell>
          <cell r="M370" t="str">
            <v/>
          </cell>
          <cell r="N370" t="str">
            <v>55</v>
          </cell>
          <cell r="O370" t="str">
            <v>VEDANTE PE</v>
          </cell>
          <cell r="Q370" t="str">
            <v/>
          </cell>
          <cell r="R370" t="str">
            <v>FLEX BAND</v>
          </cell>
        </row>
        <row r="371">
          <cell r="B371" t="str">
            <v>A364</v>
          </cell>
          <cell r="C371" t="str">
            <v>00364</v>
          </cell>
          <cell r="E371" t="str">
            <v/>
          </cell>
          <cell r="G371" t="str">
            <v/>
          </cell>
          <cell r="I371" t="str">
            <v/>
          </cell>
          <cell r="K371" t="str">
            <v/>
          </cell>
          <cell r="M371" t="str">
            <v/>
          </cell>
          <cell r="N371" t="str">
            <v>59</v>
          </cell>
          <cell r="O371" t="str">
            <v>TAMPA ANTI-CONTAMINAÇÃO</v>
          </cell>
          <cell r="Q371" t="str">
            <v/>
          </cell>
        </row>
        <row r="372">
          <cell r="B372" t="str">
            <v>A365</v>
          </cell>
          <cell r="C372" t="str">
            <v>00365</v>
          </cell>
          <cell r="E372" t="str">
            <v/>
          </cell>
          <cell r="G372" t="str">
            <v/>
          </cell>
          <cell r="I372" t="str">
            <v/>
          </cell>
          <cell r="K372" t="str">
            <v/>
          </cell>
          <cell r="M372" t="str">
            <v/>
          </cell>
          <cell r="N372" t="str">
            <v>43</v>
          </cell>
          <cell r="O372" t="str">
            <v>INTERIOR</v>
          </cell>
          <cell r="Q372" t="str">
            <v/>
          </cell>
          <cell r="R372" t="str">
            <v>G¾ PUSH-LOCK</v>
          </cell>
        </row>
        <row r="373">
          <cell r="B373" t="str">
            <v>A366</v>
          </cell>
          <cell r="C373" t="str">
            <v>00366</v>
          </cell>
          <cell r="E373" t="str">
            <v/>
          </cell>
          <cell r="G373" t="str">
            <v/>
          </cell>
          <cell r="I373" t="str">
            <v/>
          </cell>
          <cell r="K373" t="str">
            <v/>
          </cell>
          <cell r="M373" t="str">
            <v/>
          </cell>
          <cell r="O373" t="str">
            <v/>
          </cell>
          <cell r="Q373" t="str">
            <v/>
          </cell>
          <cell r="R373" t="str">
            <v>BOCA Ø50</v>
          </cell>
        </row>
        <row r="374">
          <cell r="B374" t="str">
            <v>A367</v>
          </cell>
          <cell r="C374" t="str">
            <v>00367</v>
          </cell>
          <cell r="E374" t="str">
            <v/>
          </cell>
          <cell r="G374" t="str">
            <v/>
          </cell>
          <cell r="I374" t="str">
            <v/>
          </cell>
          <cell r="J374" t="str">
            <v>MGR1</v>
          </cell>
          <cell r="K374" t="str">
            <v>S. EURODORTHZ</v>
          </cell>
          <cell r="M374" t="str">
            <v/>
          </cell>
          <cell r="O374" t="str">
            <v/>
          </cell>
          <cell r="Q374" t="str">
            <v/>
          </cell>
        </row>
        <row r="375">
          <cell r="B375" t="str">
            <v>A368</v>
          </cell>
          <cell r="C375" t="str">
            <v>00368</v>
          </cell>
          <cell r="E375" t="str">
            <v/>
          </cell>
          <cell r="G375" t="str">
            <v/>
          </cell>
          <cell r="I375" t="str">
            <v/>
          </cell>
          <cell r="K375" t="str">
            <v/>
          </cell>
          <cell r="M375" t="str">
            <v/>
          </cell>
          <cell r="O375" t="str">
            <v/>
          </cell>
          <cell r="Q375" t="str">
            <v/>
          </cell>
          <cell r="R375" t="str">
            <v>TAMPA TPØ123</v>
          </cell>
        </row>
        <row r="376">
          <cell r="B376" t="str">
            <v>A369</v>
          </cell>
          <cell r="C376" t="str">
            <v>00369</v>
          </cell>
          <cell r="E376" t="str">
            <v/>
          </cell>
          <cell r="G376" t="str">
            <v/>
          </cell>
          <cell r="I376" t="str">
            <v/>
          </cell>
          <cell r="K376" t="str">
            <v/>
          </cell>
          <cell r="M376" t="str">
            <v/>
          </cell>
          <cell r="O376" t="str">
            <v/>
          </cell>
          <cell r="Q376" t="str">
            <v/>
          </cell>
          <cell r="R376" t="str">
            <v>TR 28/410 280mm</v>
          </cell>
        </row>
        <row r="377">
          <cell r="B377" t="str">
            <v>A370</v>
          </cell>
          <cell r="C377" t="str">
            <v>00370</v>
          </cell>
          <cell r="E377" t="str">
            <v/>
          </cell>
          <cell r="G377" t="str">
            <v/>
          </cell>
          <cell r="I377" t="str">
            <v/>
          </cell>
          <cell r="K377" t="str">
            <v/>
          </cell>
          <cell r="M377" t="str">
            <v/>
          </cell>
          <cell r="O377" t="str">
            <v/>
          </cell>
          <cell r="Q377" t="str">
            <v/>
          </cell>
          <cell r="R377" t="str">
            <v>PRÉ-FILTRO PF17</v>
          </cell>
        </row>
        <row r="378">
          <cell r="B378" t="str">
            <v>A371</v>
          </cell>
          <cell r="C378" t="str">
            <v>00371</v>
          </cell>
          <cell r="E378" t="str">
            <v/>
          </cell>
          <cell r="G378" t="str">
            <v/>
          </cell>
          <cell r="H378" t="str">
            <v>G50</v>
          </cell>
          <cell r="I378" t="str">
            <v>G. CANNPRISMA</v>
          </cell>
          <cell r="K378" t="str">
            <v/>
          </cell>
          <cell r="L378" t="str">
            <v>02</v>
          </cell>
          <cell r="M378" t="str">
            <v>ASA</v>
          </cell>
          <cell r="O378" t="str">
            <v/>
          </cell>
          <cell r="Q378" t="str">
            <v/>
          </cell>
        </row>
        <row r="379">
          <cell r="B379" t="str">
            <v>A372</v>
          </cell>
          <cell r="C379" t="str">
            <v>00372</v>
          </cell>
          <cell r="E379" t="str">
            <v/>
          </cell>
          <cell r="F379" t="str">
            <v>C3</v>
          </cell>
          <cell r="G379" t="str">
            <v>3H1/Y1,6</v>
          </cell>
          <cell r="I379" t="str">
            <v/>
          </cell>
          <cell r="J379" t="str">
            <v>SMPT11</v>
          </cell>
          <cell r="K379" t="str">
            <v>S. KIMINOR</v>
          </cell>
          <cell r="M379" t="str">
            <v/>
          </cell>
          <cell r="O379" t="str">
            <v/>
          </cell>
          <cell r="Q379" t="str">
            <v/>
          </cell>
          <cell r="R379" t="str">
            <v>BOCA Ø50</v>
          </cell>
        </row>
        <row r="380">
          <cell r="B380" t="str">
            <v>A373</v>
          </cell>
          <cell r="C380" t="str">
            <v>00373</v>
          </cell>
          <cell r="E380" t="str">
            <v/>
          </cell>
          <cell r="G380" t="str">
            <v/>
          </cell>
          <cell r="I380" t="str">
            <v/>
          </cell>
          <cell r="K380" t="str">
            <v/>
          </cell>
          <cell r="M380" t="str">
            <v/>
          </cell>
          <cell r="O380" t="str">
            <v/>
          </cell>
          <cell r="Q380" t="str">
            <v/>
          </cell>
          <cell r="R380" t="str">
            <v>ANTRACITE_01</v>
          </cell>
        </row>
        <row r="381">
          <cell r="B381" t="str">
            <v>A374</v>
          </cell>
          <cell r="C381" t="str">
            <v>00374</v>
          </cell>
          <cell r="E381" t="str">
            <v/>
          </cell>
          <cell r="G381" t="str">
            <v/>
          </cell>
          <cell r="I381" t="str">
            <v/>
          </cell>
          <cell r="K381" t="str">
            <v/>
          </cell>
          <cell r="M381" t="str">
            <v/>
          </cell>
          <cell r="O381" t="str">
            <v/>
          </cell>
          <cell r="Q381" t="str">
            <v/>
          </cell>
          <cell r="R381" t="str">
            <v>CINZA CLARO_FL-3/1150LDUV</v>
          </cell>
        </row>
        <row r="382">
          <cell r="B382" t="str">
            <v>A375</v>
          </cell>
          <cell r="C382" t="str">
            <v>00375</v>
          </cell>
          <cell r="E382" t="str">
            <v/>
          </cell>
          <cell r="G382" t="str">
            <v/>
          </cell>
          <cell r="I382" t="str">
            <v/>
          </cell>
          <cell r="K382" t="str">
            <v/>
          </cell>
          <cell r="M382" t="str">
            <v/>
          </cell>
          <cell r="O382" t="str">
            <v/>
          </cell>
          <cell r="Q382" t="str">
            <v/>
          </cell>
          <cell r="R382" t="str">
            <v>VERDE SECO_FL-4/1259LDUV</v>
          </cell>
        </row>
        <row r="383">
          <cell r="B383" t="str">
            <v>A376</v>
          </cell>
          <cell r="C383" t="str">
            <v>00376</v>
          </cell>
          <cell r="E383" t="str">
            <v/>
          </cell>
          <cell r="G383" t="str">
            <v/>
          </cell>
          <cell r="I383" t="str">
            <v/>
          </cell>
          <cell r="K383" t="str">
            <v/>
          </cell>
          <cell r="M383" t="str">
            <v/>
          </cell>
          <cell r="O383" t="str">
            <v/>
          </cell>
          <cell r="Q383" t="str">
            <v/>
          </cell>
          <cell r="R383" t="str">
            <v>ENCAIXE 0489</v>
          </cell>
        </row>
        <row r="384">
          <cell r="B384" t="str">
            <v>A377</v>
          </cell>
          <cell r="C384" t="str">
            <v>00377</v>
          </cell>
          <cell r="E384" t="str">
            <v/>
          </cell>
          <cell r="G384" t="str">
            <v/>
          </cell>
          <cell r="I384" t="str">
            <v/>
          </cell>
          <cell r="K384" t="str">
            <v/>
          </cell>
          <cell r="M384" t="str">
            <v/>
          </cell>
          <cell r="O384" t="str">
            <v/>
          </cell>
          <cell r="Q384" t="str">
            <v/>
          </cell>
          <cell r="R384" t="str">
            <v>AZUL</v>
          </cell>
        </row>
        <row r="385">
          <cell r="B385" t="str">
            <v>A378</v>
          </cell>
          <cell r="C385" t="str">
            <v>00378</v>
          </cell>
          <cell r="E385" t="str">
            <v/>
          </cell>
          <cell r="G385" t="str">
            <v/>
          </cell>
          <cell r="H385" t="str">
            <v>G44</v>
          </cell>
          <cell r="I385" t="str">
            <v>G.BIOAÇORES</v>
          </cell>
          <cell r="K385" t="str">
            <v/>
          </cell>
          <cell r="L385" t="str">
            <v>02</v>
          </cell>
          <cell r="M385" t="str">
            <v>ASA</v>
          </cell>
          <cell r="O385" t="str">
            <v/>
          </cell>
          <cell r="Q385" t="str">
            <v/>
          </cell>
        </row>
        <row r="386">
          <cell r="B386" t="str">
            <v>A379</v>
          </cell>
          <cell r="C386" t="str">
            <v>00379</v>
          </cell>
          <cell r="E386" t="str">
            <v/>
          </cell>
          <cell r="F386" t="str">
            <v>C24</v>
          </cell>
          <cell r="G386" t="str">
            <v>1H2/X114/S</v>
          </cell>
          <cell r="I386" t="str">
            <v/>
          </cell>
          <cell r="K386" t="str">
            <v/>
          </cell>
          <cell r="M386" t="str">
            <v/>
          </cell>
          <cell r="O386" t="str">
            <v/>
          </cell>
          <cell r="Q386" t="str">
            <v/>
          </cell>
        </row>
        <row r="387">
          <cell r="B387" t="str">
            <v>A380</v>
          </cell>
          <cell r="C387" t="str">
            <v>00380</v>
          </cell>
          <cell r="E387" t="str">
            <v/>
          </cell>
          <cell r="G387" t="str">
            <v/>
          </cell>
          <cell r="I387" t="str">
            <v/>
          </cell>
          <cell r="K387" t="str">
            <v/>
          </cell>
          <cell r="M387" t="str">
            <v/>
          </cell>
          <cell r="N387" t="str">
            <v>27</v>
          </cell>
          <cell r="O387" t="str">
            <v>C/ TORNEIRA</v>
          </cell>
          <cell r="Q387" t="str">
            <v/>
          </cell>
          <cell r="R387" t="str">
            <v>BOCA Ø50</v>
          </cell>
        </row>
        <row r="388">
          <cell r="B388" t="str">
            <v>A381</v>
          </cell>
          <cell r="C388" t="str">
            <v>00381</v>
          </cell>
          <cell r="E388" t="str">
            <v/>
          </cell>
          <cell r="G388" t="str">
            <v/>
          </cell>
          <cell r="H388" t="str">
            <v>G51</v>
          </cell>
          <cell r="I388" t="str">
            <v>G. SERENDIPITY</v>
          </cell>
          <cell r="K388" t="str">
            <v/>
          </cell>
          <cell r="L388" t="str">
            <v>02</v>
          </cell>
          <cell r="M388" t="str">
            <v>ASA</v>
          </cell>
          <cell r="O388" t="str">
            <v/>
          </cell>
          <cell r="Q388" t="str">
            <v/>
          </cell>
        </row>
        <row r="389">
          <cell r="B389" t="str">
            <v>A382</v>
          </cell>
          <cell r="C389" t="str">
            <v>00382</v>
          </cell>
          <cell r="E389" t="str">
            <v/>
          </cell>
          <cell r="G389" t="str">
            <v/>
          </cell>
          <cell r="H389" t="str">
            <v>G52</v>
          </cell>
          <cell r="I389" t="str">
            <v>G. ECOVIRAGEM</v>
          </cell>
          <cell r="K389" t="str">
            <v/>
          </cell>
          <cell r="L389" t="str">
            <v>02</v>
          </cell>
          <cell r="M389" t="str">
            <v>ASA</v>
          </cell>
          <cell r="O389" t="str">
            <v/>
          </cell>
          <cell r="Q389" t="str">
            <v/>
          </cell>
        </row>
        <row r="390">
          <cell r="B390" t="str">
            <v>A383</v>
          </cell>
          <cell r="C390" t="str">
            <v>00383</v>
          </cell>
          <cell r="E390" t="str">
            <v/>
          </cell>
          <cell r="G390" t="str">
            <v/>
          </cell>
          <cell r="I390" t="str">
            <v/>
          </cell>
          <cell r="K390" t="str">
            <v/>
          </cell>
          <cell r="M390" t="str">
            <v/>
          </cell>
          <cell r="O390" t="str">
            <v/>
          </cell>
          <cell r="Q390" t="str">
            <v/>
          </cell>
          <cell r="R390" t="str">
            <v>SEM EST. METAL E PAL</v>
          </cell>
        </row>
        <row r="391">
          <cell r="B391" t="str">
            <v>A384</v>
          </cell>
          <cell r="C391" t="str">
            <v>00384</v>
          </cell>
          <cell r="D391" t="str">
            <v>P19</v>
          </cell>
          <cell r="E391" t="str">
            <v>650G</v>
          </cell>
          <cell r="G391" t="str">
            <v/>
          </cell>
          <cell r="I391" t="str">
            <v/>
          </cell>
          <cell r="K391" t="str">
            <v/>
          </cell>
          <cell r="M391" t="str">
            <v/>
          </cell>
          <cell r="O391" t="str">
            <v/>
          </cell>
          <cell r="Q391" t="str">
            <v/>
          </cell>
          <cell r="R391" t="str">
            <v>C\ INSERTO SPOUT</v>
          </cell>
        </row>
        <row r="392">
          <cell r="B392" t="str">
            <v>A385</v>
          </cell>
          <cell r="C392" t="str">
            <v>00385</v>
          </cell>
          <cell r="E392" t="str">
            <v/>
          </cell>
          <cell r="G392" t="str">
            <v/>
          </cell>
          <cell r="H392" t="str">
            <v>G53</v>
          </cell>
          <cell r="I392" t="str">
            <v>G.OGREEN</v>
          </cell>
          <cell r="K392" t="str">
            <v/>
          </cell>
          <cell r="L392" t="str">
            <v>02</v>
          </cell>
          <cell r="M392" t="str">
            <v>ASA</v>
          </cell>
          <cell r="O392" t="str">
            <v/>
          </cell>
          <cell r="Q392" t="str">
            <v/>
          </cell>
        </row>
        <row r="393">
          <cell r="B393" t="str">
            <v>A386</v>
          </cell>
          <cell r="C393" t="str">
            <v>00386</v>
          </cell>
          <cell r="E393" t="str">
            <v/>
          </cell>
          <cell r="F393" t="str">
            <v>C26</v>
          </cell>
          <cell r="G393" t="str">
            <v>1H1/Y1.2</v>
          </cell>
          <cell r="I393" t="str">
            <v/>
          </cell>
          <cell r="K393" t="str">
            <v/>
          </cell>
          <cell r="M393" t="str">
            <v/>
          </cell>
          <cell r="O393" t="str">
            <v/>
          </cell>
          <cell r="Q393" t="str">
            <v/>
          </cell>
        </row>
        <row r="394">
          <cell r="B394" t="str">
            <v>A387</v>
          </cell>
          <cell r="C394" t="str">
            <v>00387</v>
          </cell>
          <cell r="E394" t="str">
            <v/>
          </cell>
          <cell r="G394" t="str">
            <v/>
          </cell>
          <cell r="H394" t="str">
            <v>G54</v>
          </cell>
          <cell r="I394" t="str">
            <v>G.PROWORKS</v>
          </cell>
          <cell r="K394" t="str">
            <v/>
          </cell>
          <cell r="M394" t="str">
            <v/>
          </cell>
          <cell r="O394" t="str">
            <v/>
          </cell>
          <cell r="Q394" t="str">
            <v/>
          </cell>
        </row>
        <row r="395">
          <cell r="B395" t="str">
            <v>A388</v>
          </cell>
          <cell r="C395" t="str">
            <v>00388</v>
          </cell>
          <cell r="E395" t="str">
            <v/>
          </cell>
          <cell r="G395" t="str">
            <v/>
          </cell>
          <cell r="I395" t="str">
            <v/>
          </cell>
          <cell r="K395" t="str">
            <v/>
          </cell>
          <cell r="M395" t="str">
            <v/>
          </cell>
          <cell r="O395" t="str">
            <v/>
          </cell>
          <cell r="Q395" t="str">
            <v/>
          </cell>
          <cell r="R395" t="str">
            <v>BOCA Ø50_C\ INSERTO SPOUT</v>
          </cell>
        </row>
        <row r="396">
          <cell r="B396" t="str">
            <v>A389</v>
          </cell>
          <cell r="C396" t="str">
            <v>00389</v>
          </cell>
          <cell r="E396" t="str">
            <v/>
          </cell>
          <cell r="G396" t="str">
            <v/>
          </cell>
          <cell r="I396" t="str">
            <v/>
          </cell>
          <cell r="J396" t="str">
            <v>A9</v>
          </cell>
          <cell r="K396" t="str">
            <v>A.LARA LIMAO PAST. CONG.</v>
          </cell>
          <cell r="M396" t="str">
            <v/>
          </cell>
          <cell r="O396" t="str">
            <v/>
          </cell>
          <cell r="Q396" t="str">
            <v/>
          </cell>
        </row>
        <row r="397">
          <cell r="B397" t="str">
            <v>A390</v>
          </cell>
          <cell r="C397" t="str">
            <v>00390</v>
          </cell>
          <cell r="D397" t="str">
            <v>P5</v>
          </cell>
          <cell r="E397" t="str">
            <v>1300G</v>
          </cell>
          <cell r="F397" t="str">
            <v>C4</v>
          </cell>
          <cell r="G397" t="str">
            <v>3H1/Y1,9</v>
          </cell>
          <cell r="I397" t="str">
            <v/>
          </cell>
          <cell r="K397" t="str">
            <v/>
          </cell>
          <cell r="M397" t="str">
            <v/>
          </cell>
          <cell r="O397" t="str">
            <v/>
          </cell>
          <cell r="Q397" t="str">
            <v/>
          </cell>
        </row>
        <row r="398">
          <cell r="B398" t="str">
            <v>A391</v>
          </cell>
          <cell r="C398" t="str">
            <v>00391</v>
          </cell>
          <cell r="E398" t="str">
            <v/>
          </cell>
          <cell r="F398" t="str">
            <v>C4</v>
          </cell>
          <cell r="G398" t="str">
            <v>3H1/Y1,9</v>
          </cell>
          <cell r="I398" t="str">
            <v/>
          </cell>
          <cell r="K398" t="str">
            <v/>
          </cell>
          <cell r="L398" t="str">
            <v>02</v>
          </cell>
          <cell r="M398" t="str">
            <v>ASA</v>
          </cell>
          <cell r="O398" t="str">
            <v/>
          </cell>
          <cell r="Q398" t="str">
            <v/>
          </cell>
          <cell r="R398" t="str">
            <v>0518</v>
          </cell>
        </row>
        <row r="399">
          <cell r="B399" t="str">
            <v>A392</v>
          </cell>
          <cell r="C399" t="str">
            <v>00392</v>
          </cell>
          <cell r="E399" t="str">
            <v/>
          </cell>
          <cell r="G399" t="str">
            <v/>
          </cell>
          <cell r="I399" t="str">
            <v/>
          </cell>
          <cell r="K399" t="str">
            <v/>
          </cell>
          <cell r="M399" t="str">
            <v/>
          </cell>
          <cell r="O399" t="str">
            <v/>
          </cell>
          <cell r="Q399" t="str">
            <v/>
          </cell>
          <cell r="R399" t="str">
            <v>AUTO-VENTILADA MPV D17</v>
          </cell>
        </row>
        <row r="400">
          <cell r="B400" t="str">
            <v>A393</v>
          </cell>
          <cell r="C400" t="str">
            <v>00393</v>
          </cell>
          <cell r="D400" t="str">
            <v>P2</v>
          </cell>
          <cell r="E400" t="str">
            <v>1100G</v>
          </cell>
          <cell r="G400" t="str">
            <v/>
          </cell>
          <cell r="I400" t="str">
            <v/>
          </cell>
          <cell r="K400" t="str">
            <v/>
          </cell>
          <cell r="L400" t="str">
            <v>07</v>
          </cell>
          <cell r="M400" t="str">
            <v>C/ VISOR</v>
          </cell>
          <cell r="O400" t="str">
            <v/>
          </cell>
          <cell r="Q400" t="str">
            <v/>
          </cell>
        </row>
        <row r="401">
          <cell r="B401" t="str">
            <v>A394</v>
          </cell>
          <cell r="C401" t="str">
            <v>00394</v>
          </cell>
          <cell r="E401" t="str">
            <v/>
          </cell>
          <cell r="G401" t="str">
            <v/>
          </cell>
          <cell r="I401" t="str">
            <v/>
          </cell>
          <cell r="K401" t="str">
            <v/>
          </cell>
          <cell r="M401" t="str">
            <v/>
          </cell>
          <cell r="O401" t="str">
            <v/>
          </cell>
          <cell r="Q401" t="str">
            <v/>
          </cell>
          <cell r="R401" t="str">
            <v>PA (poliamida)</v>
          </cell>
        </row>
        <row r="402">
          <cell r="B402" t="str">
            <v>A395</v>
          </cell>
          <cell r="C402" t="str">
            <v>00395</v>
          </cell>
          <cell r="E402" t="str">
            <v/>
          </cell>
          <cell r="G402" t="str">
            <v/>
          </cell>
          <cell r="I402" t="str">
            <v/>
          </cell>
          <cell r="K402" t="str">
            <v/>
          </cell>
          <cell r="M402" t="str">
            <v/>
          </cell>
          <cell r="N402" t="str">
            <v>43</v>
          </cell>
          <cell r="O402" t="str">
            <v>INTERIOR</v>
          </cell>
          <cell r="Q402" t="str">
            <v/>
          </cell>
          <cell r="R402" t="str">
            <v>G¾ PUSH-LOCK C/ VEDANTE EPDM</v>
          </cell>
        </row>
        <row r="403">
          <cell r="B403" t="str">
            <v>A396</v>
          </cell>
          <cell r="C403" t="str">
            <v>00396</v>
          </cell>
          <cell r="E403" t="str">
            <v/>
          </cell>
          <cell r="G403" t="str">
            <v/>
          </cell>
          <cell r="I403" t="str">
            <v/>
          </cell>
          <cell r="K403" t="str">
            <v/>
          </cell>
          <cell r="M403" t="str">
            <v/>
          </cell>
          <cell r="O403" t="str">
            <v/>
          </cell>
          <cell r="Q403" t="str">
            <v/>
          </cell>
          <cell r="R403" t="str">
            <v>VERDE PR (PULVERIZADOR RAIN)</v>
          </cell>
        </row>
        <row r="404">
          <cell r="B404" t="str">
            <v>A397</v>
          </cell>
          <cell r="C404" t="str">
            <v>00397</v>
          </cell>
          <cell r="E404" t="str">
            <v/>
          </cell>
          <cell r="G404" t="str">
            <v/>
          </cell>
          <cell r="I404" t="str">
            <v/>
          </cell>
          <cell r="K404" t="str">
            <v/>
          </cell>
          <cell r="M404" t="str">
            <v/>
          </cell>
          <cell r="O404" t="str">
            <v/>
          </cell>
          <cell r="Q404" t="str">
            <v/>
          </cell>
          <cell r="R404" t="str">
            <v>BORDEAUX PR (PULVERIZADOR RAIN)</v>
          </cell>
        </row>
        <row r="405">
          <cell r="B405" t="str">
            <v>A398</v>
          </cell>
          <cell r="C405" t="str">
            <v>00398</v>
          </cell>
          <cell r="E405" t="str">
            <v/>
          </cell>
          <cell r="G405" t="str">
            <v/>
          </cell>
          <cell r="I405" t="str">
            <v/>
          </cell>
          <cell r="J405" t="str">
            <v>SR01</v>
          </cell>
          <cell r="K405" t="str">
            <v>S.RAIN 5L</v>
          </cell>
          <cell r="M405" t="str">
            <v/>
          </cell>
          <cell r="O405" t="str">
            <v/>
          </cell>
          <cell r="Q405" t="str">
            <v/>
          </cell>
          <cell r="R405" t="str">
            <v>VERDE PR (PULVERIZADOR RAIN)</v>
          </cell>
        </row>
        <row r="406">
          <cell r="B406" t="str">
            <v>A399</v>
          </cell>
          <cell r="C406" t="str">
            <v>00399</v>
          </cell>
          <cell r="E406" t="str">
            <v/>
          </cell>
          <cell r="G406" t="str">
            <v/>
          </cell>
          <cell r="I406" t="str">
            <v/>
          </cell>
          <cell r="J406" t="str">
            <v>SR01</v>
          </cell>
          <cell r="K406" t="str">
            <v>S.RAIN 5L</v>
          </cell>
          <cell r="M406" t="str">
            <v/>
          </cell>
          <cell r="O406" t="str">
            <v/>
          </cell>
          <cell r="Q406" t="str">
            <v/>
          </cell>
          <cell r="R406" t="str">
            <v>BORDEAUX PR (PULVERIZADOR RAIN)</v>
          </cell>
        </row>
        <row r="407">
          <cell r="B407" t="str">
            <v>A400</v>
          </cell>
          <cell r="C407" t="str">
            <v>00400</v>
          </cell>
          <cell r="E407" t="str">
            <v/>
          </cell>
          <cell r="G407" t="str">
            <v/>
          </cell>
          <cell r="I407" t="str">
            <v/>
          </cell>
          <cell r="J407" t="str">
            <v>SR02</v>
          </cell>
          <cell r="K407" t="str">
            <v>S.RAIN 8L</v>
          </cell>
          <cell r="M407" t="str">
            <v/>
          </cell>
          <cell r="O407" t="str">
            <v/>
          </cell>
          <cell r="Q407" t="str">
            <v/>
          </cell>
          <cell r="R407" t="str">
            <v>VERDE PR (PULVERIZADOR RAIN)</v>
          </cell>
        </row>
        <row r="408">
          <cell r="B408" t="str">
            <v>A401</v>
          </cell>
          <cell r="C408" t="str">
            <v>00401</v>
          </cell>
          <cell r="E408" t="str">
            <v/>
          </cell>
          <cell r="G408" t="str">
            <v/>
          </cell>
          <cell r="I408" t="str">
            <v/>
          </cell>
          <cell r="J408" t="str">
            <v>SR02</v>
          </cell>
          <cell r="K408" t="str">
            <v>S.RAIN 8L</v>
          </cell>
          <cell r="M408" t="str">
            <v/>
          </cell>
          <cell r="O408" t="str">
            <v/>
          </cell>
          <cell r="Q408" t="str">
            <v/>
          </cell>
          <cell r="R408" t="str">
            <v>BORDEAUX PR (PULVERIZADOR RAIN)</v>
          </cell>
        </row>
        <row r="409">
          <cell r="B409" t="str">
            <v>A402</v>
          </cell>
          <cell r="C409" t="str">
            <v>00402</v>
          </cell>
          <cell r="E409" t="str">
            <v/>
          </cell>
          <cell r="G409" t="str">
            <v/>
          </cell>
          <cell r="I409" t="str">
            <v/>
          </cell>
          <cell r="K409" t="str">
            <v/>
          </cell>
          <cell r="M409" t="str">
            <v/>
          </cell>
          <cell r="O409" t="str">
            <v/>
          </cell>
          <cell r="Q409" t="str">
            <v/>
          </cell>
          <cell r="R409" t="str">
            <v>1200X800</v>
          </cell>
        </row>
        <row r="410">
          <cell r="B410" t="str">
            <v>A403</v>
          </cell>
          <cell r="C410" t="str">
            <v>00403</v>
          </cell>
          <cell r="E410" t="str">
            <v/>
          </cell>
          <cell r="G410" t="str">
            <v/>
          </cell>
          <cell r="H410" t="str">
            <v>G55</v>
          </cell>
          <cell r="I410" t="str">
            <v>G.BIOGENOA</v>
          </cell>
          <cell r="K410" t="str">
            <v/>
          </cell>
          <cell r="L410" t="str">
            <v>02</v>
          </cell>
          <cell r="M410" t="str">
            <v>ASA</v>
          </cell>
          <cell r="O410" t="str">
            <v/>
          </cell>
          <cell r="Q410" t="str">
            <v/>
          </cell>
        </row>
        <row r="411">
          <cell r="B411" t="str">
            <v>A404</v>
          </cell>
          <cell r="C411" t="str">
            <v>00404</v>
          </cell>
          <cell r="E411" t="str">
            <v/>
          </cell>
          <cell r="G411" t="str">
            <v/>
          </cell>
          <cell r="H411" t="str">
            <v>G56</v>
          </cell>
          <cell r="I411" t="str">
            <v>G.EC3R</v>
          </cell>
          <cell r="K411" t="str">
            <v/>
          </cell>
          <cell r="L411" t="str">
            <v>02</v>
          </cell>
          <cell r="M411" t="str">
            <v>ASA</v>
          </cell>
          <cell r="O411" t="str">
            <v/>
          </cell>
          <cell r="Q411" t="str">
            <v/>
          </cell>
        </row>
        <row r="412">
          <cell r="B412" t="str">
            <v>A405</v>
          </cell>
          <cell r="C412" t="str">
            <v>00405</v>
          </cell>
          <cell r="E412" t="str">
            <v/>
          </cell>
          <cell r="G412" t="str">
            <v/>
          </cell>
          <cell r="H412" t="str">
            <v>G57</v>
          </cell>
          <cell r="I412" t="str">
            <v>G.MWR</v>
          </cell>
          <cell r="K412" t="str">
            <v/>
          </cell>
          <cell r="L412" t="str">
            <v>02</v>
          </cell>
          <cell r="M412" t="str">
            <v>ASA</v>
          </cell>
          <cell r="O412" t="str">
            <v/>
          </cell>
          <cell r="Q412" t="str">
            <v/>
          </cell>
        </row>
        <row r="413">
          <cell r="B413" t="str">
            <v>A406</v>
          </cell>
          <cell r="C413" t="str">
            <v>00406</v>
          </cell>
          <cell r="E413" t="str">
            <v/>
          </cell>
          <cell r="G413" t="str">
            <v/>
          </cell>
          <cell r="I413" t="str">
            <v/>
          </cell>
          <cell r="K413" t="str">
            <v/>
          </cell>
          <cell r="M413" t="str">
            <v/>
          </cell>
          <cell r="O413" t="str">
            <v/>
          </cell>
          <cell r="Q413" t="str">
            <v/>
          </cell>
          <cell r="R413" t="str">
            <v>SEM BASE (PULVERIZADOR RAIN)</v>
          </cell>
        </row>
        <row r="414">
          <cell r="B414" t="str">
            <v>A407</v>
          </cell>
          <cell r="C414" t="str">
            <v>00407</v>
          </cell>
          <cell r="E414" t="str">
            <v/>
          </cell>
          <cell r="G414" t="str">
            <v/>
          </cell>
          <cell r="I414" t="str">
            <v/>
          </cell>
          <cell r="J414" t="str">
            <v>SR01</v>
          </cell>
          <cell r="K414" t="str">
            <v>S.RAIN 5L</v>
          </cell>
          <cell r="M414" t="str">
            <v/>
          </cell>
          <cell r="O414" t="str">
            <v/>
          </cell>
          <cell r="Q414" t="str">
            <v/>
          </cell>
          <cell r="R414" t="str">
            <v>SEM BASE (PULVERIZADOR RAIN)</v>
          </cell>
        </row>
        <row r="415">
          <cell r="B415" t="str">
            <v>A408</v>
          </cell>
          <cell r="C415" t="str">
            <v>00408</v>
          </cell>
          <cell r="E415" t="str">
            <v/>
          </cell>
          <cell r="G415" t="str">
            <v/>
          </cell>
          <cell r="H415" t="str">
            <v>G55</v>
          </cell>
          <cell r="I415" t="str">
            <v>G.BIOGENOA</v>
          </cell>
          <cell r="K415" t="str">
            <v/>
          </cell>
          <cell r="L415" t="str">
            <v>03</v>
          </cell>
          <cell r="M415" t="str">
            <v>CAV</v>
          </cell>
          <cell r="O415" t="str">
            <v/>
          </cell>
          <cell r="Q415" t="str">
            <v/>
          </cell>
        </row>
        <row r="416">
          <cell r="B416" t="str">
            <v>A410</v>
          </cell>
          <cell r="C416" t="str">
            <v>00410</v>
          </cell>
          <cell r="E416" t="str">
            <v/>
          </cell>
          <cell r="G416" t="str">
            <v/>
          </cell>
          <cell r="I416" t="str">
            <v/>
          </cell>
          <cell r="K416" t="str">
            <v/>
          </cell>
          <cell r="M416" t="str">
            <v/>
          </cell>
          <cell r="O416" t="str">
            <v/>
          </cell>
          <cell r="Q416" t="str">
            <v/>
          </cell>
          <cell r="R416" t="str">
            <v>SPOUT LARANJA</v>
          </cell>
        </row>
        <row r="417">
          <cell r="B417" t="str">
            <v>A411</v>
          </cell>
          <cell r="C417" t="str">
            <v>00411</v>
          </cell>
          <cell r="E417" t="str">
            <v/>
          </cell>
          <cell r="G417" t="str">
            <v/>
          </cell>
          <cell r="I417" t="str">
            <v/>
          </cell>
          <cell r="K417" t="str">
            <v/>
          </cell>
          <cell r="M417" t="str">
            <v/>
          </cell>
          <cell r="O417" t="str">
            <v/>
          </cell>
          <cell r="Q417" t="str">
            <v/>
          </cell>
          <cell r="R417" t="str">
            <v>AZUL/AZUL</v>
          </cell>
        </row>
        <row r="418">
          <cell r="B418" t="str">
            <v>A412</v>
          </cell>
          <cell r="C418" t="str">
            <v>00412</v>
          </cell>
          <cell r="E418" t="str">
            <v/>
          </cell>
          <cell r="G418" t="str">
            <v/>
          </cell>
          <cell r="I418" t="str">
            <v/>
          </cell>
          <cell r="K418" t="str">
            <v/>
          </cell>
          <cell r="M418" t="str">
            <v/>
          </cell>
          <cell r="O418" t="str">
            <v/>
          </cell>
          <cell r="Q418" t="str">
            <v/>
          </cell>
          <cell r="R418" t="str">
            <v>PRETO/PRETO</v>
          </cell>
        </row>
        <row r="419">
          <cell r="B419" t="str">
            <v>A413</v>
          </cell>
          <cell r="C419" t="str">
            <v>00413</v>
          </cell>
          <cell r="D419" t="str">
            <v>P11</v>
          </cell>
          <cell r="E419" t="str">
            <v>180G</v>
          </cell>
          <cell r="G419" t="str">
            <v/>
          </cell>
          <cell r="I419" t="str">
            <v/>
          </cell>
          <cell r="K419" t="str">
            <v/>
          </cell>
          <cell r="M419" t="str">
            <v/>
          </cell>
          <cell r="O419" t="str">
            <v/>
          </cell>
          <cell r="Q419" t="str">
            <v/>
          </cell>
        </row>
        <row r="420">
          <cell r="B420" t="str">
            <v>A414</v>
          </cell>
          <cell r="C420" t="str">
            <v>00414</v>
          </cell>
          <cell r="E420" t="str">
            <v/>
          </cell>
          <cell r="F420" t="str">
            <v>C10</v>
          </cell>
          <cell r="G420" t="str">
            <v>3H1/Y1,7</v>
          </cell>
          <cell r="I420" t="str">
            <v/>
          </cell>
          <cell r="K420" t="str">
            <v/>
          </cell>
          <cell r="M420" t="str">
            <v/>
          </cell>
          <cell r="O420" t="str">
            <v/>
          </cell>
          <cell r="Q420" t="str">
            <v/>
          </cell>
          <cell r="R420" t="str">
            <v>Ø45</v>
          </cell>
        </row>
        <row r="421">
          <cell r="B421" t="str">
            <v>A415</v>
          </cell>
          <cell r="C421" t="str">
            <v>00415</v>
          </cell>
          <cell r="E421" t="str">
            <v/>
          </cell>
          <cell r="G421" t="str">
            <v/>
          </cell>
          <cell r="I421" t="str">
            <v/>
          </cell>
          <cell r="K421" t="str">
            <v/>
          </cell>
          <cell r="M421" t="str">
            <v/>
          </cell>
          <cell r="O421" t="str">
            <v/>
          </cell>
          <cell r="Q421" t="str">
            <v/>
          </cell>
        </row>
        <row r="422">
          <cell r="B422" t="str">
            <v>A416</v>
          </cell>
          <cell r="C422" t="str">
            <v>00416</v>
          </cell>
          <cell r="E422" t="str">
            <v/>
          </cell>
          <cell r="F422" t="str">
            <v>C10</v>
          </cell>
          <cell r="G422" t="str">
            <v>3H1/Y1,7</v>
          </cell>
          <cell r="I422" t="str">
            <v/>
          </cell>
          <cell r="K422" t="str">
            <v/>
          </cell>
          <cell r="L422" t="str">
            <v>02</v>
          </cell>
          <cell r="M422" t="str">
            <v>ASA</v>
          </cell>
          <cell r="O422" t="str">
            <v/>
          </cell>
          <cell r="Q422" t="str">
            <v/>
          </cell>
          <cell r="R422" t="str">
            <v>0518</v>
          </cell>
        </row>
        <row r="423">
          <cell r="B423" t="str">
            <v>A417</v>
          </cell>
          <cell r="C423" t="str">
            <v>00417</v>
          </cell>
          <cell r="E423" t="str">
            <v/>
          </cell>
          <cell r="F423" t="str">
            <v>C2</v>
          </cell>
          <cell r="G423" t="str">
            <v>3H1/Y1,4</v>
          </cell>
          <cell r="I423" t="str">
            <v/>
          </cell>
          <cell r="K423" t="str">
            <v/>
          </cell>
          <cell r="L423" t="str">
            <v>07</v>
          </cell>
          <cell r="M423" t="str">
            <v>C/ VISOR</v>
          </cell>
          <cell r="O423" t="str">
            <v/>
          </cell>
          <cell r="Q423" t="str">
            <v/>
          </cell>
        </row>
        <row r="424">
          <cell r="B424" t="str">
            <v>A418</v>
          </cell>
          <cell r="C424" t="str">
            <v>00418</v>
          </cell>
          <cell r="E424" t="str">
            <v/>
          </cell>
          <cell r="G424" t="str">
            <v/>
          </cell>
          <cell r="I424" t="str">
            <v/>
          </cell>
          <cell r="K424" t="str">
            <v/>
          </cell>
          <cell r="M424" t="str">
            <v/>
          </cell>
          <cell r="O424" t="str">
            <v/>
          </cell>
          <cell r="Q424" t="str">
            <v/>
          </cell>
          <cell r="R424" t="str">
            <v>BASE VERMELHO 83 (PULVERIZADOR RAIN)</v>
          </cell>
        </row>
        <row r="425">
          <cell r="B425" t="str">
            <v>A419</v>
          </cell>
          <cell r="C425" t="str">
            <v>00419</v>
          </cell>
          <cell r="D425" t="str">
            <v>P26</v>
          </cell>
          <cell r="E425" t="str">
            <v>900G</v>
          </cell>
          <cell r="F425" t="str">
            <v>C4</v>
          </cell>
          <cell r="G425" t="str">
            <v>3H1/Y1,9</v>
          </cell>
          <cell r="I425" t="str">
            <v/>
          </cell>
          <cell r="K425" t="str">
            <v/>
          </cell>
          <cell r="L425" t="str">
            <v>07</v>
          </cell>
          <cell r="M425" t="str">
            <v>C/ VISOR</v>
          </cell>
          <cell r="O425" t="str">
            <v/>
          </cell>
          <cell r="Q425" t="str">
            <v/>
          </cell>
        </row>
        <row r="426">
          <cell r="B426" t="str">
            <v>A420</v>
          </cell>
          <cell r="C426" t="str">
            <v>00420</v>
          </cell>
          <cell r="E426" t="str">
            <v/>
          </cell>
          <cell r="G426" t="str">
            <v/>
          </cell>
          <cell r="I426" t="str">
            <v/>
          </cell>
          <cell r="K426" t="str">
            <v/>
          </cell>
          <cell r="M426" t="str">
            <v/>
          </cell>
          <cell r="O426" t="str">
            <v/>
          </cell>
          <cell r="Q426" t="str">
            <v/>
          </cell>
          <cell r="R426" t="str">
            <v>C\ INSERT. SPOUT (sem spout na embalagem)</v>
          </cell>
        </row>
        <row r="427">
          <cell r="B427" t="str">
            <v>A421</v>
          </cell>
          <cell r="C427" t="str">
            <v>00421</v>
          </cell>
          <cell r="E427" t="str">
            <v/>
          </cell>
          <cell r="F427" t="str">
            <v>C2</v>
          </cell>
          <cell r="G427" t="str">
            <v>3H1/Y1,4</v>
          </cell>
          <cell r="I427" t="str">
            <v/>
          </cell>
          <cell r="K427" t="str">
            <v/>
          </cell>
          <cell r="L427" t="str">
            <v>07</v>
          </cell>
          <cell r="M427" t="str">
            <v>C/ VISOR</v>
          </cell>
          <cell r="O427" t="str">
            <v/>
          </cell>
          <cell r="Q427" t="str">
            <v/>
          </cell>
        </row>
        <row r="428">
          <cell r="B428" t="str">
            <v>A422</v>
          </cell>
          <cell r="C428" t="str">
            <v>00422</v>
          </cell>
          <cell r="E428" t="str">
            <v/>
          </cell>
          <cell r="G428" t="str">
            <v/>
          </cell>
          <cell r="H428" t="str">
            <v>G58</v>
          </cell>
          <cell r="I428" t="str">
            <v>G.NATERIAL</v>
          </cell>
          <cell r="K428" t="str">
            <v/>
          </cell>
          <cell r="M428" t="str">
            <v/>
          </cell>
          <cell r="O428" t="str">
            <v/>
          </cell>
          <cell r="Q428" t="str">
            <v/>
          </cell>
        </row>
        <row r="429">
          <cell r="B429" t="str">
            <v>A423</v>
          </cell>
          <cell r="C429" t="str">
            <v>00423</v>
          </cell>
          <cell r="D429" t="str">
            <v>P9</v>
          </cell>
          <cell r="E429" t="str">
            <v>150G</v>
          </cell>
          <cell r="G429" t="str">
            <v/>
          </cell>
          <cell r="I429" t="str">
            <v/>
          </cell>
          <cell r="K429" t="str">
            <v/>
          </cell>
          <cell r="L429" t="str">
            <v>07</v>
          </cell>
          <cell r="M429" t="str">
            <v>C/ VISOR</v>
          </cell>
          <cell r="O429" t="str">
            <v/>
          </cell>
          <cell r="Q429" t="str">
            <v/>
          </cell>
        </row>
        <row r="430">
          <cell r="B430" t="str">
            <v>A424</v>
          </cell>
          <cell r="C430" t="str">
            <v>00424</v>
          </cell>
          <cell r="D430" t="str">
            <v>P30</v>
          </cell>
          <cell r="E430" t="str">
            <v>50G</v>
          </cell>
          <cell r="G430" t="str">
            <v/>
          </cell>
          <cell r="I430" t="str">
            <v/>
          </cell>
          <cell r="K430" t="str">
            <v/>
          </cell>
          <cell r="M430" t="str">
            <v/>
          </cell>
          <cell r="O430" t="str">
            <v/>
          </cell>
          <cell r="Q430" t="str">
            <v/>
          </cell>
        </row>
        <row r="431">
          <cell r="B431" t="str">
            <v>A425</v>
          </cell>
          <cell r="C431" t="str">
            <v>00425</v>
          </cell>
          <cell r="E431" t="str">
            <v/>
          </cell>
          <cell r="F431" t="str">
            <v>C8</v>
          </cell>
          <cell r="G431" t="str">
            <v>31HA1/Y</v>
          </cell>
          <cell r="I431" t="str">
            <v/>
          </cell>
          <cell r="K431" t="str">
            <v/>
          </cell>
          <cell r="M431" t="str">
            <v/>
          </cell>
          <cell r="N431" t="str">
            <v>60</v>
          </cell>
          <cell r="O431" t="str">
            <v>MX PAL PLASTICO</v>
          </cell>
          <cell r="Q431" t="str">
            <v/>
          </cell>
          <cell r="R431" t="str">
            <v>DN80/3</v>
          </cell>
        </row>
        <row r="432">
          <cell r="B432" t="str">
            <v>A426</v>
          </cell>
          <cell r="C432" t="str">
            <v>00426</v>
          </cell>
          <cell r="E432" t="str">
            <v/>
          </cell>
          <cell r="G432" t="str">
            <v/>
          </cell>
          <cell r="I432" t="str">
            <v/>
          </cell>
          <cell r="K432" t="str">
            <v/>
          </cell>
          <cell r="M432" t="str">
            <v/>
          </cell>
          <cell r="O432" t="str">
            <v/>
          </cell>
          <cell r="Q432" t="str">
            <v/>
          </cell>
          <cell r="R432" t="str">
            <v>PARA REFª 2007</v>
          </cell>
        </row>
        <row r="433">
          <cell r="B433" t="str">
            <v>A427</v>
          </cell>
          <cell r="C433" t="str">
            <v>00427</v>
          </cell>
          <cell r="E433" t="str">
            <v/>
          </cell>
          <cell r="G433" t="str">
            <v/>
          </cell>
          <cell r="H433" t="str">
            <v>G59</v>
          </cell>
          <cell r="I433" t="str">
            <v>G.TUOZI</v>
          </cell>
          <cell r="K433" t="str">
            <v/>
          </cell>
          <cell r="M433" t="str">
            <v/>
          </cell>
          <cell r="O433" t="str">
            <v/>
          </cell>
          <cell r="Q433" t="str">
            <v/>
          </cell>
        </row>
        <row r="434">
          <cell r="B434" t="str">
            <v>A428</v>
          </cell>
          <cell r="C434" t="str">
            <v>00428</v>
          </cell>
          <cell r="E434" t="str">
            <v/>
          </cell>
          <cell r="G434" t="str">
            <v/>
          </cell>
          <cell r="H434" t="str">
            <v>G48</v>
          </cell>
          <cell r="I434" t="str">
            <v>G.HARD.LEVEL</v>
          </cell>
          <cell r="K434" t="str">
            <v/>
          </cell>
          <cell r="L434" t="str">
            <v>02</v>
          </cell>
          <cell r="M434" t="str">
            <v>ASA</v>
          </cell>
          <cell r="O434" t="str">
            <v/>
          </cell>
          <cell r="Q434" t="str">
            <v/>
          </cell>
        </row>
        <row r="435">
          <cell r="B435" t="str">
            <v>A429</v>
          </cell>
          <cell r="C435" t="str">
            <v>00429</v>
          </cell>
          <cell r="D435" t="str">
            <v>P31</v>
          </cell>
          <cell r="E435" t="str">
            <v>165G</v>
          </cell>
          <cell r="G435" t="str">
            <v/>
          </cell>
          <cell r="I435" t="str">
            <v/>
          </cell>
          <cell r="K435" t="str">
            <v/>
          </cell>
          <cell r="M435" t="str">
            <v/>
          </cell>
          <cell r="O435" t="str">
            <v/>
          </cell>
          <cell r="Q435" t="str">
            <v/>
          </cell>
          <cell r="R435" t="str">
            <v>PCR 100%</v>
          </cell>
        </row>
        <row r="436">
          <cell r="B436" t="str">
            <v>A430</v>
          </cell>
          <cell r="C436" t="str">
            <v>00430</v>
          </cell>
          <cell r="D436" t="str">
            <v>P32</v>
          </cell>
          <cell r="E436" t="str">
            <v>190G</v>
          </cell>
          <cell r="G436" t="str">
            <v/>
          </cell>
          <cell r="I436" t="str">
            <v/>
          </cell>
          <cell r="K436" t="str">
            <v/>
          </cell>
          <cell r="M436" t="str">
            <v/>
          </cell>
          <cell r="O436" t="str">
            <v/>
          </cell>
          <cell r="Q436" t="str">
            <v/>
          </cell>
          <cell r="R436" t="str">
            <v>PCR 100%</v>
          </cell>
        </row>
        <row r="437">
          <cell r="B437" t="str">
            <v>A431</v>
          </cell>
          <cell r="C437" t="str">
            <v>00431</v>
          </cell>
          <cell r="D437" t="str">
            <v>P31</v>
          </cell>
          <cell r="E437" t="str">
            <v>165G</v>
          </cell>
          <cell r="G437" t="str">
            <v/>
          </cell>
          <cell r="I437" t="str">
            <v/>
          </cell>
          <cell r="K437" t="str">
            <v/>
          </cell>
          <cell r="M437" t="str">
            <v/>
          </cell>
          <cell r="O437" t="str">
            <v/>
          </cell>
          <cell r="Q437" t="str">
            <v/>
          </cell>
          <cell r="R437" t="str">
            <v>PCR 50%</v>
          </cell>
        </row>
        <row r="438">
          <cell r="B438" t="str">
            <v>A432</v>
          </cell>
          <cell r="C438" t="str">
            <v>00432</v>
          </cell>
          <cell r="E438" t="str">
            <v/>
          </cell>
          <cell r="G438" t="str">
            <v/>
          </cell>
          <cell r="H438" t="str">
            <v>G60</v>
          </cell>
          <cell r="I438" t="str">
            <v>G.ROEDEER</v>
          </cell>
          <cell r="K438" t="str">
            <v/>
          </cell>
          <cell r="L438" t="str">
            <v>02</v>
          </cell>
          <cell r="M438" t="str">
            <v>ASA</v>
          </cell>
          <cell r="O438" t="str">
            <v/>
          </cell>
          <cell r="Q438" t="str">
            <v/>
          </cell>
        </row>
        <row r="439">
          <cell r="B439" t="str">
            <v>A433</v>
          </cell>
          <cell r="C439" t="str">
            <v>00433</v>
          </cell>
          <cell r="E439" t="str">
            <v/>
          </cell>
          <cell r="G439" t="str">
            <v/>
          </cell>
          <cell r="I439" t="str">
            <v/>
          </cell>
          <cell r="K439" t="str">
            <v/>
          </cell>
          <cell r="M439" t="str">
            <v/>
          </cell>
          <cell r="O439" t="str">
            <v/>
          </cell>
          <cell r="Q439" t="str">
            <v/>
          </cell>
          <cell r="R439" t="str">
            <v>PCR 70%</v>
          </cell>
        </row>
        <row r="440">
          <cell r="B440" t="str">
            <v>A434</v>
          </cell>
          <cell r="C440" t="str">
            <v>00434</v>
          </cell>
          <cell r="E440" t="str">
            <v/>
          </cell>
          <cell r="G440" t="str">
            <v/>
          </cell>
          <cell r="I440" t="str">
            <v/>
          </cell>
          <cell r="K440" t="str">
            <v/>
          </cell>
          <cell r="M440" t="str">
            <v/>
          </cell>
          <cell r="O440" t="str">
            <v/>
          </cell>
          <cell r="Q440" t="str">
            <v/>
          </cell>
          <cell r="R440" t="str">
            <v>C\ INSERTO SPOUT PCR 70%</v>
          </cell>
        </row>
        <row r="441">
          <cell r="B441" t="str">
            <v>A435</v>
          </cell>
          <cell r="C441" t="str">
            <v>00435</v>
          </cell>
          <cell r="E441" t="str">
            <v/>
          </cell>
          <cell r="G441" t="str">
            <v/>
          </cell>
          <cell r="H441" t="str">
            <v>G61</v>
          </cell>
          <cell r="I441" t="str">
            <v>G.V-CITY</v>
          </cell>
          <cell r="K441" t="str">
            <v/>
          </cell>
          <cell r="L441" t="str">
            <v>02</v>
          </cell>
          <cell r="M441" t="str">
            <v>ASA</v>
          </cell>
          <cell r="O441" t="str">
            <v/>
          </cell>
          <cell r="Q441" t="str">
            <v/>
          </cell>
        </row>
        <row r="442">
          <cell r="B442" t="str">
            <v>A436</v>
          </cell>
          <cell r="C442" t="str">
            <v>00436</v>
          </cell>
          <cell r="E442" t="str">
            <v/>
          </cell>
          <cell r="F442" t="str">
            <v>C3</v>
          </cell>
          <cell r="G442" t="str">
            <v>3H1/Y1,6</v>
          </cell>
          <cell r="I442" t="str">
            <v/>
          </cell>
          <cell r="J442" t="str">
            <v>SMPT12</v>
          </cell>
          <cell r="K442" t="str">
            <v>S.VTECQUIM</v>
          </cell>
          <cell r="M442" t="str">
            <v/>
          </cell>
          <cell r="O442" t="str">
            <v/>
          </cell>
          <cell r="Q442" t="str">
            <v/>
          </cell>
          <cell r="R442" t="str">
            <v>BOCA Ø50</v>
          </cell>
        </row>
        <row r="443">
          <cell r="B443" t="str">
            <v>A437</v>
          </cell>
          <cell r="C443" t="str">
            <v>00437</v>
          </cell>
          <cell r="E443" t="str">
            <v/>
          </cell>
          <cell r="G443" t="str">
            <v/>
          </cell>
          <cell r="I443" t="str">
            <v/>
          </cell>
          <cell r="K443" t="str">
            <v/>
          </cell>
          <cell r="M443" t="str">
            <v/>
          </cell>
          <cell r="O443" t="str">
            <v/>
          </cell>
          <cell r="Q443" t="str">
            <v/>
          </cell>
          <cell r="R443" t="str">
            <v>CORANTE BEJE (02.01.CC.8123.001)</v>
          </cell>
        </row>
        <row r="444">
          <cell r="B444" t="str">
            <v>A438</v>
          </cell>
          <cell r="C444" t="str">
            <v>00438</v>
          </cell>
          <cell r="E444" t="str">
            <v/>
          </cell>
          <cell r="F444" t="str">
            <v>C3</v>
          </cell>
          <cell r="G444" t="str">
            <v>3H1/Y1,6</v>
          </cell>
          <cell r="I444" t="str">
            <v/>
          </cell>
          <cell r="K444" t="str">
            <v/>
          </cell>
          <cell r="L444" t="str">
            <v>07</v>
          </cell>
          <cell r="M444" t="str">
            <v>C/ VISOR</v>
          </cell>
          <cell r="O444" t="str">
            <v/>
          </cell>
          <cell r="Q444" t="str">
            <v/>
          </cell>
        </row>
        <row r="445">
          <cell r="B445" t="str">
            <v>A439</v>
          </cell>
          <cell r="C445" t="str">
            <v>00439</v>
          </cell>
          <cell r="E445" t="str">
            <v/>
          </cell>
          <cell r="G445" t="str">
            <v/>
          </cell>
          <cell r="I445" t="str">
            <v/>
          </cell>
          <cell r="K445" t="str">
            <v/>
          </cell>
          <cell r="M445" t="str">
            <v/>
          </cell>
          <cell r="O445" t="str">
            <v/>
          </cell>
          <cell r="Q445" t="str">
            <v/>
          </cell>
          <cell r="R445" t="str">
            <v>S\ TRIANGULO</v>
          </cell>
        </row>
        <row r="446">
          <cell r="B446" t="str">
            <v>A440</v>
          </cell>
          <cell r="C446" t="str">
            <v>00440</v>
          </cell>
          <cell r="E446" t="str">
            <v/>
          </cell>
          <cell r="G446" t="str">
            <v/>
          </cell>
          <cell r="I446" t="str">
            <v/>
          </cell>
          <cell r="K446" t="str">
            <v/>
          </cell>
          <cell r="M446" t="str">
            <v/>
          </cell>
          <cell r="O446" t="str">
            <v/>
          </cell>
          <cell r="Q446" t="str">
            <v/>
          </cell>
          <cell r="R446" t="str">
            <v>Corante: 02.01.CC.7841.001 - CORANTE CINZENTO</v>
          </cell>
        </row>
        <row r="447">
          <cell r="B447" t="str">
            <v>A441</v>
          </cell>
          <cell r="C447" t="str">
            <v>00441</v>
          </cell>
          <cell r="D447" t="str">
            <v>P2</v>
          </cell>
          <cell r="E447" t="str">
            <v>1100G</v>
          </cell>
          <cell r="F447" t="str">
            <v>C4</v>
          </cell>
          <cell r="G447" t="str">
            <v>3H1/Y1,9</v>
          </cell>
          <cell r="H447" t="str">
            <v>G62</v>
          </cell>
          <cell r="I447" t="str">
            <v>G.AGROTOXICO</v>
          </cell>
          <cell r="K447" t="str">
            <v/>
          </cell>
          <cell r="M447" t="str">
            <v/>
          </cell>
          <cell r="O447" t="str">
            <v/>
          </cell>
          <cell r="Q447" t="str">
            <v/>
          </cell>
        </row>
        <row r="448">
          <cell r="B448" t="str">
            <v>A442</v>
          </cell>
          <cell r="C448" t="str">
            <v>00442</v>
          </cell>
          <cell r="D448" t="str">
            <v>P2</v>
          </cell>
          <cell r="E448" t="str">
            <v>1100G</v>
          </cell>
          <cell r="F448" t="str">
            <v>C4</v>
          </cell>
          <cell r="G448" t="str">
            <v>3H1/Y1,9</v>
          </cell>
          <cell r="H448" t="str">
            <v>G62</v>
          </cell>
          <cell r="I448" t="str">
            <v>G.AGROTOXICO</v>
          </cell>
          <cell r="K448" t="str">
            <v/>
          </cell>
          <cell r="M448" t="str">
            <v/>
          </cell>
          <cell r="O448" t="str">
            <v/>
          </cell>
          <cell r="Q448" t="str">
            <v/>
          </cell>
          <cell r="R448" t="str">
            <v>DUPLO</v>
          </cell>
        </row>
        <row r="449">
          <cell r="B449" t="str">
            <v>A443</v>
          </cell>
          <cell r="C449" t="str">
            <v>00443</v>
          </cell>
          <cell r="D449" t="str">
            <v>P2</v>
          </cell>
          <cell r="E449" t="str">
            <v>1100G</v>
          </cell>
          <cell r="F449" t="str">
            <v>C4</v>
          </cell>
          <cell r="G449" t="str">
            <v>3H1/Y1,9</v>
          </cell>
          <cell r="I449" t="str">
            <v/>
          </cell>
          <cell r="K449" t="str">
            <v/>
          </cell>
          <cell r="L449" t="str">
            <v>07</v>
          </cell>
          <cell r="M449" t="str">
            <v>C/ VISOR</v>
          </cell>
          <cell r="O449" t="str">
            <v/>
          </cell>
          <cell r="Q449" t="str">
            <v/>
          </cell>
        </row>
        <row r="450">
          <cell r="B450" t="str">
            <v>A444</v>
          </cell>
          <cell r="C450" t="str">
            <v>00444</v>
          </cell>
          <cell r="D450" t="str">
            <v>P26</v>
          </cell>
          <cell r="E450" t="str">
            <v>900G</v>
          </cell>
          <cell r="F450" t="str">
            <v>C4</v>
          </cell>
          <cell r="G450" t="str">
            <v>3H1/Y1,9</v>
          </cell>
          <cell r="I450" t="str">
            <v/>
          </cell>
          <cell r="K450" t="str">
            <v/>
          </cell>
          <cell r="M450" t="str">
            <v/>
          </cell>
          <cell r="O450" t="str">
            <v/>
          </cell>
          <cell r="Q450" t="str">
            <v/>
          </cell>
          <cell r="R450" t="str">
            <v>02.01.CC.8142.001 - CORANTE GREEN PEARL</v>
          </cell>
        </row>
        <row r="451">
          <cell r="B451" t="str">
            <v>A445</v>
          </cell>
          <cell r="C451" t="str">
            <v>00445</v>
          </cell>
          <cell r="E451" t="str">
            <v/>
          </cell>
          <cell r="F451" t="str">
            <v>C2</v>
          </cell>
          <cell r="G451" t="str">
            <v>3H1/Y1,4</v>
          </cell>
          <cell r="I451" t="str">
            <v/>
          </cell>
          <cell r="K451" t="str">
            <v/>
          </cell>
          <cell r="M451" t="str">
            <v/>
          </cell>
          <cell r="O451" t="str">
            <v/>
          </cell>
          <cell r="Q451" t="str">
            <v/>
          </cell>
          <cell r="R451" t="str">
            <v>02.01.CC.8142.001 - CORANTE GREEN PEARL</v>
          </cell>
        </row>
        <row r="452">
          <cell r="B452" t="str">
            <v>A446</v>
          </cell>
          <cell r="C452" t="str">
            <v>00446</v>
          </cell>
          <cell r="E452" t="str">
            <v/>
          </cell>
          <cell r="F452" t="str">
            <v>C12</v>
          </cell>
          <cell r="G452" t="str">
            <v>3H1/Y1,3</v>
          </cell>
          <cell r="I452" t="str">
            <v/>
          </cell>
          <cell r="K452" t="str">
            <v/>
          </cell>
          <cell r="M452" t="str">
            <v/>
          </cell>
          <cell r="O452" t="str">
            <v/>
          </cell>
          <cell r="Q452" t="str">
            <v/>
          </cell>
          <cell r="R452" t="str">
            <v>02.01.CC.8142.001 - CORANTE GREEN PEARL</v>
          </cell>
        </row>
        <row r="453">
          <cell r="B453" t="str">
            <v>A447</v>
          </cell>
          <cell r="C453" t="str">
            <v>00447</v>
          </cell>
          <cell r="E453" t="str">
            <v/>
          </cell>
          <cell r="G453" t="str">
            <v/>
          </cell>
          <cell r="H453" t="str">
            <v>G63</v>
          </cell>
          <cell r="I453" t="str">
            <v>G.RAFRINOR</v>
          </cell>
          <cell r="K453" t="str">
            <v/>
          </cell>
          <cell r="L453" t="str">
            <v>03</v>
          </cell>
          <cell r="M453" t="str">
            <v>CAV</v>
          </cell>
          <cell r="O453" t="str">
            <v/>
          </cell>
          <cell r="Q453" t="str">
            <v/>
          </cell>
          <cell r="R453" t="str">
            <v>Gravação:PROPIEDAD DE OLLECO BUNGE</v>
          </cell>
        </row>
        <row r="454">
          <cell r="B454" t="str">
            <v>A448</v>
          </cell>
          <cell r="C454" t="str">
            <v>00448</v>
          </cell>
          <cell r="E454" t="str">
            <v/>
          </cell>
          <cell r="G454" t="str">
            <v/>
          </cell>
          <cell r="I454" t="str">
            <v/>
          </cell>
          <cell r="K454" t="str">
            <v/>
          </cell>
          <cell r="M454" t="str">
            <v/>
          </cell>
          <cell r="O454" t="str">
            <v/>
          </cell>
          <cell r="Q454" t="str">
            <v/>
          </cell>
          <cell r="R454" t="str">
            <v>PCR 50%</v>
          </cell>
        </row>
        <row r="455">
          <cell r="B455" t="str">
            <v>A449</v>
          </cell>
          <cell r="C455" t="str">
            <v>00449</v>
          </cell>
          <cell r="E455" t="str">
            <v/>
          </cell>
          <cell r="G455" t="str">
            <v/>
          </cell>
          <cell r="H455" t="str">
            <v>GL1</v>
          </cell>
          <cell r="I455" t="str">
            <v>Gravação Laser N. SEQUENCIAL</v>
          </cell>
          <cell r="K455" t="str">
            <v/>
          </cell>
          <cell r="L455" t="str">
            <v>04</v>
          </cell>
          <cell r="M455" t="str">
            <v>P/T ASA</v>
          </cell>
          <cell r="N455" t="str">
            <v>02</v>
          </cell>
          <cell r="O455" t="str">
            <v>FACETADO</v>
          </cell>
          <cell r="Q455" t="str">
            <v/>
          </cell>
        </row>
        <row r="456">
          <cell r="B456" t="str">
            <v>A450</v>
          </cell>
          <cell r="C456" t="str">
            <v>00450</v>
          </cell>
          <cell r="E456" t="str">
            <v/>
          </cell>
          <cell r="G456" t="str">
            <v/>
          </cell>
          <cell r="H456" t="str">
            <v>GL2</v>
          </cell>
          <cell r="I456" t="str">
            <v>Gravação Laser GLUTEN FREE + N. SEQUENCIAL</v>
          </cell>
          <cell r="K456" t="str">
            <v/>
          </cell>
          <cell r="L456" t="str">
            <v>04</v>
          </cell>
          <cell r="M456" t="str">
            <v>P/T ASA</v>
          </cell>
          <cell r="N456" t="str">
            <v>02</v>
          </cell>
          <cell r="O456" t="str">
            <v>FACETADO</v>
          </cell>
          <cell r="Q456" t="str">
            <v/>
          </cell>
        </row>
        <row r="457">
          <cell r="B457" t="str">
            <v>A451</v>
          </cell>
          <cell r="C457" t="str">
            <v>00451</v>
          </cell>
          <cell r="E457" t="str">
            <v/>
          </cell>
          <cell r="F457" t="str">
            <v>C2</v>
          </cell>
          <cell r="G457" t="str">
            <v>3H1/Y1,4</v>
          </cell>
          <cell r="I457" t="str">
            <v/>
          </cell>
          <cell r="K457" t="str">
            <v/>
          </cell>
          <cell r="L457" t="str">
            <v>07</v>
          </cell>
          <cell r="M457" t="str">
            <v>C/ VISOR</v>
          </cell>
          <cell r="O457" t="str">
            <v/>
          </cell>
          <cell r="Q457" t="str">
            <v/>
          </cell>
          <cell r="R457" t="str">
            <v>BOCA Ø50</v>
          </cell>
        </row>
        <row r="458">
          <cell r="B458" t="str">
            <v>A452</v>
          </cell>
          <cell r="C458" t="str">
            <v>00452</v>
          </cell>
          <cell r="D458" t="str">
            <v>P31</v>
          </cell>
          <cell r="E458" t="str">
            <v>165G</v>
          </cell>
          <cell r="G458" t="str">
            <v/>
          </cell>
          <cell r="I458" t="str">
            <v/>
          </cell>
          <cell r="K458" t="str">
            <v/>
          </cell>
          <cell r="M458" t="str">
            <v/>
          </cell>
          <cell r="O458" t="str">
            <v/>
          </cell>
          <cell r="Q458" t="str">
            <v/>
          </cell>
          <cell r="R458" t="str">
            <v>PCR 30%</v>
          </cell>
        </row>
        <row r="459">
          <cell r="B459" t="str">
            <v>A453</v>
          </cell>
          <cell r="C459" t="str">
            <v>00453</v>
          </cell>
          <cell r="E459" t="str">
            <v/>
          </cell>
          <cell r="G459" t="str">
            <v/>
          </cell>
          <cell r="H459" t="str">
            <v>G27</v>
          </cell>
          <cell r="I459" t="str">
            <v>G.FRIMARC</v>
          </cell>
          <cell r="K459" t="str">
            <v/>
          </cell>
          <cell r="L459" t="str">
            <v>02</v>
          </cell>
          <cell r="M459" t="str">
            <v>ASA</v>
          </cell>
          <cell r="O459" t="str">
            <v/>
          </cell>
          <cell r="Q459" t="str">
            <v/>
          </cell>
        </row>
        <row r="460">
          <cell r="B460" t="str">
            <v>A454</v>
          </cell>
          <cell r="C460" t="str">
            <v>00454</v>
          </cell>
          <cell r="E460" t="str">
            <v/>
          </cell>
          <cell r="G460" t="str">
            <v/>
          </cell>
          <cell r="H460" t="str">
            <v>G22</v>
          </cell>
          <cell r="I460" t="str">
            <v>G.BIOLOGICAL</v>
          </cell>
          <cell r="K460" t="str">
            <v/>
          </cell>
          <cell r="L460" t="str">
            <v>03</v>
          </cell>
          <cell r="M460" t="str">
            <v>CAV</v>
          </cell>
          <cell r="O460" t="str">
            <v/>
          </cell>
          <cell r="Q460" t="str">
            <v/>
          </cell>
        </row>
        <row r="461">
          <cell r="B461" t="str">
            <v>A455</v>
          </cell>
          <cell r="C461" t="str">
            <v>00455</v>
          </cell>
          <cell r="D461" t="str">
            <v>P31</v>
          </cell>
          <cell r="E461" t="str">
            <v>165G</v>
          </cell>
          <cell r="G461" t="str">
            <v/>
          </cell>
          <cell r="I461" t="str">
            <v/>
          </cell>
          <cell r="K461" t="str">
            <v/>
          </cell>
          <cell r="M461" t="str">
            <v/>
          </cell>
          <cell r="O461" t="str">
            <v/>
          </cell>
          <cell r="Q461" t="str">
            <v/>
          </cell>
          <cell r="R461" t="str">
            <v>PCR 70%</v>
          </cell>
        </row>
        <row r="462">
          <cell r="B462" t="str">
            <v>A456</v>
          </cell>
          <cell r="C462" t="str">
            <v>00456</v>
          </cell>
          <cell r="E462" t="str">
            <v/>
          </cell>
          <cell r="G462" t="str">
            <v/>
          </cell>
          <cell r="I462" t="str">
            <v/>
          </cell>
          <cell r="K462" t="str">
            <v/>
          </cell>
          <cell r="M462" t="str">
            <v/>
          </cell>
          <cell r="O462" t="str">
            <v/>
          </cell>
          <cell r="Q462" t="str">
            <v/>
          </cell>
          <cell r="R462" t="str">
            <v>290mm BRANCOCO/BRANCO</v>
          </cell>
        </row>
        <row r="463">
          <cell r="B463" t="str">
            <v>A457</v>
          </cell>
          <cell r="C463" t="str">
            <v>00457</v>
          </cell>
          <cell r="D463" t="str">
            <v>P33</v>
          </cell>
          <cell r="E463" t="str">
            <v>5,830Kg</v>
          </cell>
          <cell r="F463" t="str">
            <v>C22</v>
          </cell>
          <cell r="G463" t="str">
            <v>1H2/X268/S</v>
          </cell>
          <cell r="I463" t="str">
            <v/>
          </cell>
          <cell r="K463" t="str">
            <v/>
          </cell>
          <cell r="L463" t="str">
            <v>04</v>
          </cell>
          <cell r="M463" t="str">
            <v>P/T ASA</v>
          </cell>
          <cell r="O463" t="str">
            <v/>
          </cell>
          <cell r="Q463" t="str">
            <v/>
          </cell>
        </row>
        <row r="464">
          <cell r="B464" t="str">
            <v>A458</v>
          </cell>
          <cell r="C464" t="str">
            <v>00458</v>
          </cell>
          <cell r="D464" t="str">
            <v>P34</v>
          </cell>
          <cell r="E464" t="str">
            <v>90G</v>
          </cell>
          <cell r="F464" t="str">
            <v>C19</v>
          </cell>
          <cell r="G464" t="str">
            <v>1H1/Y1,3</v>
          </cell>
          <cell r="I464" t="str">
            <v/>
          </cell>
          <cell r="K464" t="str">
            <v/>
          </cell>
          <cell r="M464" t="str">
            <v/>
          </cell>
          <cell r="O464" t="str">
            <v/>
          </cell>
          <cell r="Q464" t="str">
            <v/>
          </cell>
        </row>
        <row r="465">
          <cell r="B465" t="str">
            <v>A459</v>
          </cell>
          <cell r="C465" t="str">
            <v>00459</v>
          </cell>
          <cell r="E465" t="str">
            <v/>
          </cell>
          <cell r="G465" t="str">
            <v/>
          </cell>
          <cell r="I465" t="str">
            <v/>
          </cell>
          <cell r="K465" t="str">
            <v/>
          </cell>
          <cell r="L465" t="str">
            <v>07</v>
          </cell>
          <cell r="M465" t="str">
            <v>C/ VISOR</v>
          </cell>
          <cell r="O465" t="str">
            <v/>
          </cell>
          <cell r="Q465" t="str">
            <v/>
          </cell>
          <cell r="R465" t="str">
            <v>C\ INSERTO SPOUT</v>
          </cell>
        </row>
        <row r="466">
          <cell r="B466" t="str">
            <v>A460</v>
          </cell>
          <cell r="C466" t="str">
            <v>00460</v>
          </cell>
          <cell r="E466" t="str">
            <v/>
          </cell>
          <cell r="G466" t="str">
            <v/>
          </cell>
          <cell r="H466" t="str">
            <v>G28</v>
          </cell>
          <cell r="I466" t="str">
            <v>G.OLEOTORRES</v>
          </cell>
          <cell r="K466" t="str">
            <v/>
          </cell>
          <cell r="L466" t="str">
            <v>02</v>
          </cell>
          <cell r="M466" t="str">
            <v>ASA</v>
          </cell>
          <cell r="O466" t="str">
            <v/>
          </cell>
          <cell r="Q466" t="str">
            <v/>
          </cell>
        </row>
        <row r="467">
          <cell r="B467" t="str">
            <v>A461</v>
          </cell>
          <cell r="C467" t="str">
            <v>00461</v>
          </cell>
          <cell r="E467" t="str">
            <v/>
          </cell>
          <cell r="F467" t="str">
            <v>C27</v>
          </cell>
          <cell r="G467" t="str">
            <v>3H1/Y1,5</v>
          </cell>
          <cell r="I467" t="str">
            <v/>
          </cell>
          <cell r="K467" t="str">
            <v/>
          </cell>
          <cell r="M467" t="str">
            <v/>
          </cell>
          <cell r="O467" t="str">
            <v/>
          </cell>
          <cell r="Q467" t="str">
            <v/>
          </cell>
        </row>
        <row r="468">
          <cell r="B468" t="str">
            <v>A462</v>
          </cell>
          <cell r="C468" t="str">
            <v>00462</v>
          </cell>
          <cell r="D468" t="str">
            <v>P20</v>
          </cell>
          <cell r="E468" t="str">
            <v>700G</v>
          </cell>
          <cell r="F468" t="str">
            <v>C4</v>
          </cell>
          <cell r="G468" t="str">
            <v>3H1/Y1,9</v>
          </cell>
          <cell r="I468" t="str">
            <v/>
          </cell>
          <cell r="K468" t="str">
            <v/>
          </cell>
          <cell r="L468" t="str">
            <v>07</v>
          </cell>
          <cell r="M468" t="str">
            <v>C/ VISOR</v>
          </cell>
          <cell r="O468" t="str">
            <v/>
          </cell>
          <cell r="Q468" t="str">
            <v/>
          </cell>
          <cell r="R468" t="str">
            <v>XL</v>
          </cell>
        </row>
        <row r="469">
          <cell r="B469" t="str">
            <v>A463</v>
          </cell>
          <cell r="C469" t="str">
            <v>00463</v>
          </cell>
          <cell r="E469" t="str">
            <v/>
          </cell>
          <cell r="G469" t="str">
            <v/>
          </cell>
          <cell r="H469" t="str">
            <v>G5</v>
          </cell>
          <cell r="I469" t="str">
            <v>G.SERCAÇA</v>
          </cell>
          <cell r="K469" t="str">
            <v/>
          </cell>
          <cell r="M469" t="str">
            <v/>
          </cell>
          <cell r="N469" t="str">
            <v>02</v>
          </cell>
          <cell r="O469" t="str">
            <v>FACETADO</v>
          </cell>
          <cell r="Q469" t="str">
            <v/>
          </cell>
          <cell r="R469" t="str">
            <v>COM FURAÇÃO</v>
          </cell>
        </row>
        <row r="470">
          <cell r="B470" t="str">
            <v>A464</v>
          </cell>
          <cell r="C470" t="str">
            <v>00464</v>
          </cell>
          <cell r="D470" t="str">
            <v>P18</v>
          </cell>
          <cell r="E470" t="str">
            <v>500G</v>
          </cell>
          <cell r="F470" t="str">
            <v>C10</v>
          </cell>
          <cell r="G470" t="str">
            <v>3H1/Y1,7</v>
          </cell>
          <cell r="I470" t="str">
            <v/>
          </cell>
          <cell r="K470" t="str">
            <v/>
          </cell>
          <cell r="M470" t="str">
            <v/>
          </cell>
          <cell r="O470" t="str">
            <v/>
          </cell>
          <cell r="Q470" t="str">
            <v/>
          </cell>
        </row>
        <row r="471">
          <cell r="B471" t="str">
            <v>A465</v>
          </cell>
          <cell r="C471" t="str">
            <v>00465</v>
          </cell>
          <cell r="E471" t="str">
            <v/>
          </cell>
          <cell r="G471" t="str">
            <v/>
          </cell>
          <cell r="I471" t="str">
            <v/>
          </cell>
          <cell r="K471" t="str">
            <v/>
          </cell>
          <cell r="M471" t="str">
            <v/>
          </cell>
          <cell r="N471" t="str">
            <v>61</v>
          </cell>
          <cell r="O471" t="str">
            <v>REDONDO</v>
          </cell>
          <cell r="Q471" t="str">
            <v/>
          </cell>
        </row>
        <row r="472">
          <cell r="B472" t="str">
            <v>A466</v>
          </cell>
          <cell r="C472" t="str">
            <v>00466</v>
          </cell>
          <cell r="E472" t="str">
            <v/>
          </cell>
          <cell r="G472" t="str">
            <v/>
          </cell>
          <cell r="I472" t="str">
            <v/>
          </cell>
          <cell r="K472" t="str">
            <v/>
          </cell>
          <cell r="M472" t="str">
            <v/>
          </cell>
          <cell r="N472" t="str">
            <v>62</v>
          </cell>
          <cell r="O472" t="str">
            <v>QUADRADO</v>
          </cell>
          <cell r="Q472" t="str">
            <v/>
          </cell>
        </row>
        <row r="473">
          <cell r="B473" t="str">
            <v>A467</v>
          </cell>
          <cell r="C473" t="str">
            <v>00467</v>
          </cell>
          <cell r="E473" t="str">
            <v/>
          </cell>
          <cell r="G473" t="str">
            <v/>
          </cell>
          <cell r="I473" t="str">
            <v/>
          </cell>
          <cell r="K473" t="str">
            <v/>
          </cell>
          <cell r="M473" t="str">
            <v/>
          </cell>
          <cell r="N473" t="str">
            <v>63</v>
          </cell>
          <cell r="O473" t="str">
            <v>RETANGULAR</v>
          </cell>
          <cell r="Q473" t="str">
            <v/>
          </cell>
        </row>
        <row r="474">
          <cell r="B474" t="str">
            <v>A468</v>
          </cell>
          <cell r="C474" t="str">
            <v>00468</v>
          </cell>
          <cell r="D474" t="str">
            <v>P35</v>
          </cell>
          <cell r="E474" t="str">
            <v>27G</v>
          </cell>
          <cell r="G474" t="str">
            <v/>
          </cell>
          <cell r="I474" t="str">
            <v/>
          </cell>
          <cell r="K474" t="str">
            <v/>
          </cell>
          <cell r="M474" t="str">
            <v/>
          </cell>
          <cell r="O474" t="str">
            <v/>
          </cell>
          <cell r="Q474" t="str">
            <v/>
          </cell>
        </row>
        <row r="475">
          <cell r="B475" t="str">
            <v>A469</v>
          </cell>
          <cell r="C475" t="str">
            <v>00469</v>
          </cell>
          <cell r="D475" t="str">
            <v>P36</v>
          </cell>
          <cell r="E475" t="str">
            <v>54G</v>
          </cell>
          <cell r="G475" t="str">
            <v/>
          </cell>
          <cell r="I475" t="str">
            <v/>
          </cell>
          <cell r="K475" t="str">
            <v/>
          </cell>
          <cell r="M475" t="str">
            <v/>
          </cell>
          <cell r="O475" t="str">
            <v/>
          </cell>
          <cell r="Q475" t="str">
            <v/>
          </cell>
        </row>
        <row r="476">
          <cell r="B476" t="str">
            <v>A470</v>
          </cell>
          <cell r="C476" t="str">
            <v>00470</v>
          </cell>
          <cell r="D476" t="str">
            <v>P37</v>
          </cell>
          <cell r="E476" t="str">
            <v>85G</v>
          </cell>
          <cell r="G476" t="str">
            <v/>
          </cell>
          <cell r="I476" t="str">
            <v/>
          </cell>
          <cell r="K476" t="str">
            <v/>
          </cell>
          <cell r="M476" t="str">
            <v/>
          </cell>
          <cell r="O476" t="str">
            <v/>
          </cell>
          <cell r="Q476" t="str">
            <v/>
          </cell>
        </row>
        <row r="477">
          <cell r="B477" t="str">
            <v>A471</v>
          </cell>
          <cell r="C477" t="str">
            <v>00471</v>
          </cell>
          <cell r="E477" t="str">
            <v/>
          </cell>
          <cell r="G477" t="str">
            <v/>
          </cell>
          <cell r="I477" t="str">
            <v/>
          </cell>
          <cell r="K477" t="str">
            <v/>
          </cell>
          <cell r="M477" t="str">
            <v/>
          </cell>
          <cell r="O477" t="str">
            <v/>
          </cell>
          <cell r="Q477" t="str">
            <v/>
          </cell>
          <cell r="R477" t="str">
            <v>DOSEADORA DE BICO</v>
          </cell>
        </row>
        <row r="478">
          <cell r="B478" t="str">
            <v>A472</v>
          </cell>
          <cell r="C478" t="str">
            <v>00472</v>
          </cell>
          <cell r="E478" t="str">
            <v/>
          </cell>
          <cell r="G478" t="str">
            <v/>
          </cell>
          <cell r="I478" t="str">
            <v/>
          </cell>
          <cell r="K478" t="str">
            <v/>
          </cell>
          <cell r="M478" t="str">
            <v/>
          </cell>
          <cell r="O478" t="str">
            <v/>
          </cell>
          <cell r="Q478" t="str">
            <v/>
          </cell>
          <cell r="R478" t="str">
            <v>PCR 40%</v>
          </cell>
        </row>
        <row r="479">
          <cell r="B479" t="str">
            <v>A473</v>
          </cell>
          <cell r="C479" t="str">
            <v>00473</v>
          </cell>
          <cell r="E479" t="str">
            <v/>
          </cell>
          <cell r="G479" t="str">
            <v/>
          </cell>
          <cell r="I479" t="str">
            <v/>
          </cell>
          <cell r="K479" t="str">
            <v/>
          </cell>
          <cell r="M479" t="str">
            <v/>
          </cell>
          <cell r="O479" t="str">
            <v/>
          </cell>
          <cell r="Q479" t="str">
            <v/>
          </cell>
          <cell r="R479" t="str">
            <v>C\ INSERTO SPOUT PCR 50%</v>
          </cell>
        </row>
        <row r="480">
          <cell r="B480" t="str">
            <v>A474</v>
          </cell>
          <cell r="C480" t="str">
            <v>00474</v>
          </cell>
          <cell r="D480" t="str">
            <v>P34</v>
          </cell>
          <cell r="E480" t="str">
            <v>90G</v>
          </cell>
          <cell r="F480" t="str">
            <v>C19</v>
          </cell>
          <cell r="G480" t="str">
            <v>1H1/Y1,3</v>
          </cell>
          <cell r="I480" t="str">
            <v/>
          </cell>
          <cell r="K480" t="str">
            <v/>
          </cell>
          <cell r="M480" t="str">
            <v/>
          </cell>
          <cell r="O480" t="str">
            <v/>
          </cell>
          <cell r="Q480" t="str">
            <v/>
          </cell>
          <cell r="R480" t="str">
            <v>COEX PA</v>
          </cell>
        </row>
        <row r="481">
          <cell r="E481" t="str">
            <v/>
          </cell>
          <cell r="G481" t="str">
            <v/>
          </cell>
          <cell r="I481" t="str">
            <v/>
          </cell>
          <cell r="K481" t="str">
            <v/>
          </cell>
          <cell r="M481" t="str">
            <v/>
          </cell>
          <cell r="O481" t="str">
            <v/>
          </cell>
          <cell r="Q481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E979-E0BC-264B-8079-BE4E3B957481}">
  <dimension ref="B5:W25"/>
  <sheetViews>
    <sheetView tabSelected="1" topLeftCell="A3" workbookViewId="0">
      <selection activeCell="B5" sqref="B5:B25"/>
    </sheetView>
  </sheetViews>
  <sheetFormatPr baseColWidth="10" defaultColWidth="9.1640625" defaultRowHeight="14" x14ac:dyDescent="0.15"/>
  <cols>
    <col min="1" max="1" width="9.1640625" style="1"/>
    <col min="2" max="2" width="19" style="1" bestFit="1" customWidth="1"/>
    <col min="3" max="3" width="7.1640625" style="1" customWidth="1"/>
    <col min="4" max="4" width="28" style="1" customWidth="1"/>
    <col min="5" max="5" width="9" style="2" bestFit="1" customWidth="1"/>
    <col min="6" max="6" width="3.6640625" style="1" customWidth="1"/>
    <col min="7" max="7" width="9.1640625" style="1"/>
    <col min="8" max="8" width="6.6640625" style="1" customWidth="1"/>
    <col min="9" max="22" width="5.6640625" style="1" customWidth="1"/>
    <col min="23" max="23" width="17.5" style="1" bestFit="1" customWidth="1"/>
    <col min="24" max="16384" width="9.1640625" style="1"/>
  </cols>
  <sheetData>
    <row r="5" spans="2:17" x14ac:dyDescent="0.15">
      <c r="B5" s="1" t="s">
        <v>33</v>
      </c>
      <c r="C5" s="1" t="str">
        <f>VLOOKUP(D5,'[1]Estrutura Código'!B:C,2,FALSE)</f>
        <v>02</v>
      </c>
      <c r="D5" s="3" t="s">
        <v>32</v>
      </c>
      <c r="H5" s="9" t="s">
        <v>31</v>
      </c>
      <c r="I5" s="9"/>
      <c r="J5" s="9"/>
      <c r="K5" s="9"/>
      <c r="L5" s="9"/>
      <c r="M5" s="9"/>
      <c r="N5" s="9"/>
      <c r="O5" s="9"/>
    </row>
    <row r="6" spans="2:17" x14ac:dyDescent="0.15">
      <c r="H6" s="6" t="str">
        <f>_xlfn.CONCAT(H8:O8)</f>
        <v>061143790041100127</v>
      </c>
      <c r="I6" s="6"/>
      <c r="J6" s="6"/>
      <c r="K6" s="6"/>
      <c r="L6" s="6"/>
      <c r="M6" s="6"/>
      <c r="N6" s="6"/>
      <c r="O6" s="6"/>
    </row>
    <row r="7" spans="2:17" x14ac:dyDescent="0.15">
      <c r="B7" s="1" t="s">
        <v>30</v>
      </c>
      <c r="C7" s="1" t="str">
        <f>VLOOKUP(D7,'[1]Estrutura Código'!F:G,2,FALSE)</f>
        <v>06</v>
      </c>
      <c r="D7" s="3" t="s">
        <v>29</v>
      </c>
      <c r="H7" s="1">
        <v>1</v>
      </c>
      <c r="I7" s="1">
        <v>2</v>
      </c>
      <c r="J7" s="1">
        <v>3</v>
      </c>
      <c r="K7" s="1">
        <v>5</v>
      </c>
      <c r="L7" s="1">
        <v>7</v>
      </c>
      <c r="M7" s="1">
        <v>8</v>
      </c>
      <c r="N7" s="1">
        <v>9</v>
      </c>
      <c r="O7" s="1">
        <v>10</v>
      </c>
    </row>
    <row r="8" spans="2:17" x14ac:dyDescent="0.15">
      <c r="H8" s="1" t="str">
        <f>C7</f>
        <v>06</v>
      </c>
      <c r="I8" s="1" t="str">
        <f>C9</f>
        <v>11</v>
      </c>
      <c r="J8" s="1" t="str">
        <f>C11</f>
        <v>437</v>
      </c>
      <c r="K8" s="1" t="str">
        <f>C15</f>
        <v>90</v>
      </c>
      <c r="L8" s="1" t="str">
        <f>C19</f>
        <v>04</v>
      </c>
      <c r="M8" s="1" t="str">
        <f>C21</f>
        <v>1</v>
      </c>
      <c r="N8" s="1" t="str">
        <f>C23</f>
        <v>1</v>
      </c>
      <c r="O8" s="1" t="str">
        <f>C25</f>
        <v>00127</v>
      </c>
    </row>
    <row r="9" spans="2:17" x14ac:dyDescent="0.15">
      <c r="B9" s="1" t="s">
        <v>28</v>
      </c>
      <c r="C9" s="1" t="str">
        <f>VLOOKUP(D9,'[1]Estrutura Código'!J:K,2,FALSE)</f>
        <v>11</v>
      </c>
      <c r="D9" s="3" t="s">
        <v>27</v>
      </c>
    </row>
    <row r="11" spans="2:17" x14ac:dyDescent="0.15">
      <c r="B11" s="1" t="s">
        <v>26</v>
      </c>
      <c r="C11" s="1" t="str">
        <f>VLOOKUP(D11,'[1]Estrutura Código'!N:P,2,FALSE)</f>
        <v>437</v>
      </c>
      <c r="D11" s="3" t="s">
        <v>25</v>
      </c>
      <c r="E11" s="2" t="str">
        <f>VLOOKUP(D11,'[1]Estrutura Código'!N:P,3,FALSE)</f>
        <v>SPOUT FLEXIVEL</v>
      </c>
      <c r="H11" s="8" t="s">
        <v>24</v>
      </c>
      <c r="I11" s="8"/>
      <c r="J11" s="8"/>
      <c r="K11" s="8"/>
      <c r="L11" s="8"/>
      <c r="M11" s="8"/>
      <c r="N11" s="8"/>
      <c r="O11" s="8"/>
      <c r="P11" s="8"/>
      <c r="Q11" s="8"/>
    </row>
    <row r="12" spans="2:17" x14ac:dyDescent="0.15">
      <c r="H12" s="5" t="str">
        <f>_xlfn.CONCAT(H14:Q14)</f>
        <v>0541.51.90.CP.A127</v>
      </c>
      <c r="I12" s="5"/>
      <c r="J12" s="5"/>
      <c r="K12" s="5"/>
      <c r="L12" s="5"/>
      <c r="M12" s="5"/>
      <c r="N12" s="5"/>
      <c r="O12" s="5"/>
      <c r="P12" s="5"/>
      <c r="Q12" s="5"/>
    </row>
    <row r="13" spans="2:17" x14ac:dyDescent="0.15">
      <c r="B13" s="1" t="s">
        <v>23</v>
      </c>
      <c r="C13" s="1" t="str">
        <f>VLOOKUP(D13,'[1]Estrutura Código'!S:U,2,FALSE)</f>
        <v>51</v>
      </c>
      <c r="D13" s="3" t="s">
        <v>22</v>
      </c>
      <c r="H13" s="1">
        <v>3</v>
      </c>
      <c r="J13" s="1">
        <v>4</v>
      </c>
      <c r="L13" s="1">
        <v>5</v>
      </c>
      <c r="N13" s="1">
        <v>8</v>
      </c>
      <c r="O13" s="1">
        <v>9</v>
      </c>
      <c r="Q13" s="1">
        <v>10</v>
      </c>
    </row>
    <row r="14" spans="2:17" x14ac:dyDescent="0.15">
      <c r="H14" s="1" t="str">
        <f>D11</f>
        <v>0541</v>
      </c>
      <c r="I14" s="1" t="s">
        <v>21</v>
      </c>
      <c r="J14" s="1" t="str">
        <f>C13</f>
        <v>51</v>
      </c>
      <c r="K14" s="1" t="s">
        <v>21</v>
      </c>
      <c r="L14" s="1" t="str">
        <f>C15</f>
        <v>90</v>
      </c>
      <c r="M14" s="1" t="s">
        <v>21</v>
      </c>
      <c r="N14" s="1" t="str">
        <f>F21</f>
        <v>C</v>
      </c>
      <c r="O14" s="1" t="str">
        <f>F23</f>
        <v>P</v>
      </c>
      <c r="P14" s="1" t="s">
        <v>21</v>
      </c>
      <c r="Q14" s="1" t="str">
        <f>D25</f>
        <v>A127</v>
      </c>
    </row>
    <row r="15" spans="2:17" x14ac:dyDescent="0.15">
      <c r="B15" s="1" t="s">
        <v>20</v>
      </c>
      <c r="C15" s="1" t="str">
        <f>VLOOKUP(D15,'[1]Estrutura Código'!X:Z,2,FALSE)</f>
        <v>90</v>
      </c>
      <c r="D15" s="3" t="s">
        <v>19</v>
      </c>
      <c r="E15" s="2" t="str">
        <f>VLOOKUP(D15,'[1]Estrutura Código'!X:Z,3,FALSE)</f>
        <v>PRETO</v>
      </c>
    </row>
    <row r="17" spans="2:23" x14ac:dyDescent="0.15">
      <c r="B17" s="1" t="s">
        <v>18</v>
      </c>
      <c r="C17" s="1" t="str">
        <f>VLOOKUP(D17,'[1]Estrutura Código'!AC:AE,3,FALSE)</f>
        <v>TR</v>
      </c>
      <c r="D17" s="3" t="s">
        <v>17</v>
      </c>
      <c r="H17" s="7" t="s">
        <v>16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2:23" x14ac:dyDescent="0.15">
      <c r="H18" s="4" t="str">
        <f>_xlfn.TEXTJOIN(" ",TRUE,H20:W20)</f>
        <v>REGADOR 5L SPOUT FLEXIVEL PRETO TR Ø50 CERT PAL 400G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2:23" x14ac:dyDescent="0.15">
      <c r="B19" s="1" t="s">
        <v>15</v>
      </c>
      <c r="C19" s="1" t="str">
        <f>VLOOKUP(D19,'[1]Estrutura Código'!AH:AI,2,FALSE)</f>
        <v>04</v>
      </c>
      <c r="D19" s="3" t="s">
        <v>14</v>
      </c>
      <c r="H19" s="1">
        <v>1</v>
      </c>
      <c r="I19" s="1">
        <v>2</v>
      </c>
      <c r="J19" s="1">
        <v>3</v>
      </c>
      <c r="K19" s="1">
        <v>5</v>
      </c>
      <c r="L19" s="1">
        <v>6</v>
      </c>
      <c r="M19" s="1">
        <v>7</v>
      </c>
      <c r="N19" s="1">
        <v>8</v>
      </c>
      <c r="O19" s="1" t="s">
        <v>13</v>
      </c>
      <c r="P19" s="1">
        <v>9</v>
      </c>
      <c r="Q19" s="1" t="s">
        <v>12</v>
      </c>
      <c r="R19" s="1" t="s">
        <v>11</v>
      </c>
      <c r="S19" s="1" t="s">
        <v>10</v>
      </c>
      <c r="T19" s="1" t="s">
        <v>9</v>
      </c>
      <c r="U19" s="1" t="s">
        <v>8</v>
      </c>
      <c r="V19" s="1" t="s">
        <v>7</v>
      </c>
      <c r="W19" s="1" t="s">
        <v>6</v>
      </c>
    </row>
    <row r="20" spans="2:23" x14ac:dyDescent="0.15">
      <c r="H20" s="1" t="str">
        <f>IF(C7="00","",D7)</f>
        <v>REGADOR</v>
      </c>
      <c r="I20" s="1" t="str">
        <f>IF(C9="00","",D9)</f>
        <v>5L</v>
      </c>
      <c r="J20" s="1" t="str">
        <f>IF(E11=0,"",E11)</f>
        <v>SPOUT FLEXIVEL</v>
      </c>
      <c r="K20" s="1" t="str">
        <f>IF(C15="00","",E15)</f>
        <v>PRETO</v>
      </c>
      <c r="L20" s="1" t="str">
        <f>IF(C17=0,"",C17)</f>
        <v>TR</v>
      </c>
      <c r="M20" s="1" t="str">
        <f>IF(D19="N/A","",D19)</f>
        <v>Ø50</v>
      </c>
      <c r="N20" s="1" t="str">
        <f>IF(OR(D21="NORMAL",D21="N/A"),"",E21)</f>
        <v>CERT</v>
      </c>
      <c r="O20" s="1" t="str">
        <f>VLOOKUP(D25,'[2]10_Especificações'!B:R,6,FALSE)</f>
        <v/>
      </c>
      <c r="P20" s="1" t="str">
        <f>IF(D23="N/A","",E23)</f>
        <v>PAL</v>
      </c>
      <c r="Q20" s="1" t="str">
        <f>VLOOKUP(D25,'[2]10_Especificações'!B:R,4,FALSE)</f>
        <v>400G</v>
      </c>
      <c r="R20" s="1" t="str">
        <f>VLOOKUP(D25,'[2]10_Especificações'!B:R,12,FALSE)</f>
        <v/>
      </c>
      <c r="S20" s="1" t="str">
        <f>VLOOKUP(D25,'[2]10_Especificações'!B:R,8,FALSE)</f>
        <v/>
      </c>
      <c r="T20" s="1" t="str">
        <f>VLOOKUP(D25,'[2]10_Especificações'!B:R,10,FALSE)</f>
        <v/>
      </c>
      <c r="U20" s="1" t="str">
        <f>VLOOKUP(D25,'[2]10_Especificações'!B:R,14,FALSE)</f>
        <v/>
      </c>
      <c r="V20" s="1" t="str">
        <f>VLOOKUP(D25,'[2]10_Especificações'!B:R,16,FALSE)</f>
        <v/>
      </c>
      <c r="W20" s="1" t="str">
        <f>IF(VLOOKUP(D25,'[2]10_Especificações'!B:R,17,FALSE)=0,"",VLOOKUP(D25,'[2]10_Especificações'!B:R,17,FALSE))</f>
        <v/>
      </c>
    </row>
    <row r="21" spans="2:23" x14ac:dyDescent="0.15">
      <c r="B21" s="1" t="s">
        <v>5</v>
      </c>
      <c r="C21" s="1" t="str">
        <f>VLOOKUP(D21,'[1]Estrutura Código'!AL:AO,4,FALSE)</f>
        <v>1</v>
      </c>
      <c r="D21" s="3" t="s">
        <v>4</v>
      </c>
      <c r="E21" s="2" t="str">
        <f>VLOOKUP(D21,'[1]Estrutura Código'!AL:AO,3,FALSE)</f>
        <v>CERT</v>
      </c>
      <c r="F21" s="1" t="str">
        <f>VLOOKUP(D21,'[1]Estrutura Código'!AL:AO,2,FALSE)</f>
        <v>C</v>
      </c>
    </row>
    <row r="23" spans="2:23" x14ac:dyDescent="0.15">
      <c r="B23" s="1" t="s">
        <v>3</v>
      </c>
      <c r="C23" s="1" t="str">
        <f>VLOOKUP(D23,'[1]Estrutura Código'!AR:AU,4,FALSE)</f>
        <v>1</v>
      </c>
      <c r="D23" s="3" t="s">
        <v>2</v>
      </c>
      <c r="E23" s="2" t="str">
        <f>VLOOKUP(D23,'[1]Estrutura Código'!AR:AU,3,FALSE)</f>
        <v>PAL</v>
      </c>
      <c r="F23" s="1" t="str">
        <f>VLOOKUP(D23,'[1]Estrutura Código'!AR:AU,2,FALSE)</f>
        <v>P</v>
      </c>
    </row>
    <row r="25" spans="2:23" x14ac:dyDescent="0.15">
      <c r="B25" s="1" t="s">
        <v>1</v>
      </c>
      <c r="C25" s="1" t="str">
        <f>VLOOKUP(D25,'[2]10_Especificações'!B:C,2,FALSE)</f>
        <v>00127</v>
      </c>
      <c r="D25" s="3" t="s">
        <v>0</v>
      </c>
    </row>
  </sheetData>
  <mergeCells count="3">
    <mergeCell ref="H17:W17"/>
    <mergeCell ref="H11:Q11"/>
    <mergeCell ref="H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Embalagem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Barreto</dc:creator>
  <cp:lastModifiedBy>Nuno Barreto</cp:lastModifiedBy>
  <dcterms:created xsi:type="dcterms:W3CDTF">2026-01-10T20:28:31Z</dcterms:created>
  <dcterms:modified xsi:type="dcterms:W3CDTF">2026-01-11T20:36:21Z</dcterms:modified>
</cp:coreProperties>
</file>